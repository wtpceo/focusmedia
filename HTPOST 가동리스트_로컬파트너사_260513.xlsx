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HT/대행사/"/>
    </mc:Choice>
  </mc:AlternateContent>
  <xr:revisionPtr revIDLastSave="0" documentId="8_{5C1A961C-0ED8-9D48-8A24-BDD5E078379A}" xr6:coauthVersionLast="47" xr6:coauthVersionMax="47" xr10:uidLastSave="{00000000-0000-0000-0000-000000000000}"/>
  <bookViews>
    <workbookView xWindow="1240" yWindow="760" windowWidth="38400" windowHeight="1934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화정" guid="{05072BD3-3EEF-4229-A409-BBA14C2F6BAB}" maximized="1" windowWidth="0" windowHeight="0" activeSheetId="0"/>
    <customWorkbookView name="필터 1" guid="{6A353864-4074-44AA-8593-C37424843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<sst xmlns="http://schemas.openxmlformats.org/spreadsheetml/2006/main" count="1200" uniqueCount="758">
  <si>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</si>
  <si>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</si>
  <si>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</si>
  <si>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</si>
  <si>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</si>
  <si>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</si>
  <si>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</si>
  <si>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</si>
  <si>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</si>
  <si>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</si>
  <si>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</si>
  <si>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</si>
  <si>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</si>
  <si>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</si>
  <si>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</si>
  <si>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</si>
  <si>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</si>
  <si>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</si>
  <si>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</si>
  <si>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</si>
  <si>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</si>
  <si>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</si>
  <si>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</si>
  <si>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</si>
  <si>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</si>
  <si>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</si>
  <si>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</si>
  <si>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</si>
  <si>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</si>
  <si>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</si>
  <si>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</si>
  <si>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</si>
  <si>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</si>
  <si>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</si>
  <si>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</si>
  <si>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</si>
  <si>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</si>
  <si>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</si>
  <si>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</si>
  <si>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</si>
  <si>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</si>
  <si>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</si>
  <si>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</si>
  <si>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</si>
  <si>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</si>
  <si>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</si>
  <si>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</si>
  <si>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</si>
  <si>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</si>
  <si>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</si>
  <si>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</si>
  <si>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</si>
  <si>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</si>
  <si>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</si>
  <si>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</si>
  <si>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</si>
  <si>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</si>
  <si>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</si>
  <si>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</si>
  <si>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</si>
  <si>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</si>
  <si>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</si>
  <si>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</si>
  <si>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</si>
  <si>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</si>
  <si>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</si>
  <si>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</si>
  <si>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</si>
  <si>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</si>
  <si>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</si>
  <si>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</si>
  <si>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</si>
  <si>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</si>
  <si>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</si>
  <si>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</si>
  <si>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</si>
  <si>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</si>
  <si>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</si>
  <si>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</si>
  <si>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</si>
  <si>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</si>
  <si>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</si>
  <si>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</si>
  <si>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</si>
  <si>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</si>
  <si>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</si>
  <si>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</si>
  <si>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</si>
  <si>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</si>
  <si>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</si>
  <si>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</si>
  <si>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</si>
  <si>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</si>
  <si>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</si>
  <si>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</si>
  <si>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</si>
  <si>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</si>
  <si>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</si>
  <si>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</si>
  <si>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</si>
  <si>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</si>
  <si>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</si>
  <si>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</si>
  <si>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</si>
  <si>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</si>
  <si>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</si>
  <si>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</si>
  <si>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</si>
  <si>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</si>
  <si>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</si>
  <si>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</si>
  <si>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</si>
  <si>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</si>
  <si>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</si>
  <si>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</si>
  <si>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</si>
  <si>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</si>
  <si>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</si>
  <si>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</si>
  <si>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</si>
  <si>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</si>
  <si>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</si>
  <si>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</si>
  <si>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</si>
  <si>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</si>
  <si>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</si>
  <si>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</si>
  <si>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</si>
  <si>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</si>
  <si>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</si>
  <si>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</si>
  <si>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</si>
  <si>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</si>
  <si>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</si>
  <si>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</si>
  <si>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</si>
  <si>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</si>
  <si>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</si>
  <si>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</si>
  <si>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</si>
  <si>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</si>
  <si>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</si>
  <si>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</si>
  <si>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</si>
  <si>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</si>
  <si>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</si>
  <si>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</si>
  <si>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</si>
  <si>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</si>
  <si>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</si>
  <si>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</si>
  <si>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</si>
  <si>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</si>
  <si>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</si>
  <si>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</si>
  <si>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</si>
  <si>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</si>
  <si>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</si>
  <si>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</si>
  <si>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</si>
  <si>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</si>
  <si>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</si>
  <si>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</si>
  <si>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</si>
  <si>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</si>
  <si>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</si>
  <si>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</si>
  <si>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</si>
  <si>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</si>
  <si>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</si>
  <si>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</si>
  <si>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</si>
  <si>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</si>
  <si>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</si>
  <si>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</si>
  <si>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</si>
  <si>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</si>
  <si>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</si>
  <si>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</si>
  <si>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</si>
  <si>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</si>
  <si>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</si>
  <si>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</si>
  <si>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</si>
  <si>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</si>
  <si>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</si>
  <si>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</si>
  <si>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</si>
  <si>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</si>
  <si>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</si>
  <si>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</si>
  <si>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</si>
  <si>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</si>
  <si>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</si>
  <si>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</si>
  <si>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</si>
  <si>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</si>
  <si>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</si>
  <si>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</si>
  <si>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</si>
  <si>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</si>
  <si>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</si>
  <si>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</si>
  <si>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</si>
  <si>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</si>
  <si>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</si>
  <si>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</si>
  <si>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</si>
  <si>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</si>
  <si>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</si>
  <si>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</si>
  <si>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</si>
  <si>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</si>
  <si>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</si>
  <si>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</si>
  <si>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</si>
  <si>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</si>
  <si>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</si>
  <si>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</si>
  <si>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</si>
  <si>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</si>
  <si>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</si>
  <si>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</si>
  <si>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</si>
  <si>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</si>
  <si>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</si>
  <si>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</si>
  <si>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</si>
  <si>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</si>
  <si>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</si>
  <si>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</si>
  <si>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</si>
  <si>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</si>
  <si>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</si>
  <si>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</si>
  <si>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</si>
  <si>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</si>
  <si>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</si>
  <si>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</si>
  <si>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</si>
  <si>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</si>
  <si>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</si>
  <si>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</si>
  <si>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</si>
  <si>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</si>
  <si>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</si>
  <si>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</si>
  <si>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</si>
  <si>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</si>
  <si>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</si>
  <si>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</si>
  <si>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</si>
  <si>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</si>
  <si>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</si>
  <si>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</si>
  <si>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</si>
  <si>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</si>
  <si>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</si>
  <si>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</si>
  <si>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</si>
  <si>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</si>
  <si>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</si>
  <si>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</si>
  <si>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</si>
  <si>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</si>
  <si>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</si>
  <si>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</si>
  <si>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</si>
  <si>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</si>
  <si>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</si>
  <si>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</si>
  <si>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</si>
  <si>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</si>
  <si>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</si>
  <si>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</si>
  <si>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</si>
  <si>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</si>
  <si>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</si>
  <si>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</si>
  <si>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</si>
  <si>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</si>
  <si>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</si>
  <si>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</si>
  <si>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</si>
  <si>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</si>
  <si>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</si>
  <si>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</si>
  <si>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</si>
  <si>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</si>
  <si>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</si>
  <si>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</si>
  <si>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</si>
  <si>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</si>
  <si>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</si>
  <si>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</si>
  <si>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</si>
  <si>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</si>
  <si>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</si>
  <si>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</si>
  <si>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</si>
  <si>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</si>
  <si>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</si>
  <si>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</si>
  <si>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</si>
  <si>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</si>
  <si>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</si>
  <si>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</si>
  <si>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</si>
  <si>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</si>
  <si>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</si>
  <si>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</si>
  <si>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</si>
  <si>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</si>
  <si>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</si>
  <si>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</si>
  <si>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</si>
  <si>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</si>
  <si>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</si>
  <si>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</si>
  <si>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</si>
  <si>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</si>
  <si>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</si>
  <si>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</si>
  <si>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</si>
  <si>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</si>
  <si>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</si>
  <si>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</si>
  <si>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</si>
  <si>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</si>
  <si>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</si>
  <si>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</si>
  <si>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</si>
  <si>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</si>
  <si>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</si>
  <si>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</si>
  <si>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</si>
  <si>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</si>
  <si>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</si>
  <si>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</si>
  <si>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</si>
  <si>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</si>
  <si>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</si>
  <si>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</si>
  <si>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</si>
  <si>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</si>
  <si>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</si>
  <si>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</si>
  <si>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</si>
  <si>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</si>
  <si>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</si>
  <si>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</si>
  <si>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</si>
  <si>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</si>
  <si>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</si>
  <si>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</si>
  <si>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</si>
  <si>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</si>
  <si>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</si>
  <si>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</si>
  <si>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</si>
  <si>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</si>
  <si>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</si>
  <si>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</si>
  <si>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</si>
  <si>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</si>
  <si>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</si>
  <si>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</si>
  <si>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</si>
  <si>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</si>
  <si>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</si>
  <si>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</si>
  <si>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</si>
  <si>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</si>
  <si>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</si>
  <si>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</si>
  <si>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</si>
  <si>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</si>
  <si>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</si>
  <si>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</si>
  <si>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</si>
  <si>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</si>
  <si>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</si>
  <si>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</si>
  <si>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</si>
  <si>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</si>
  <si>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</si>
  <si>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</si>
  <si>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</si>
  <si>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</si>
  <si>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</si>
  <si>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</si>
  <si>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</si>
  <si>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</si>
  <si>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</si>
  <si>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</si>
  <si>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</si>
  <si>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</si>
  <si>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</si>
  <si>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</si>
  <si>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</si>
  <si>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</si>
  <si>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</si>
  <si>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</si>
  <si>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</si>
  <si>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</si>
  <si>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</si>
  <si>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</si>
  <si>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</si>
  <si>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</si>
  <si>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</si>
  <si>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</si>
  <si>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</si>
  <si>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</si>
  <si>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</si>
  <si>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</si>
  <si>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</si>
  <si>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</si>
  <si>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</si>
  <si>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</si>
  <si>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</si>
  <si>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</si>
  <si>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</si>
  <si>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</si>
  <si>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</si>
  <si>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</si>
  <si>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</si>
  <si>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</si>
  <si>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</si>
  <si>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</si>
  <si>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</si>
  <si>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</si>
  <si>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</si>
  <si>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</si>
  <si>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</si>
  <si>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</si>
  <si>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</si>
  <si>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</si>
  <si>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</si>
  <si>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</si>
  <si>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</si>
  <si>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</si>
  <si>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</si>
  <si>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</si>
  <si>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</si>
  <si>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</si>
  <si>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</si>
  <si>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</si>
  <si>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</si>
  <si>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</si>
  <si>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</si>
  <si>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</si>
  <si>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</si>
  <si>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</si>
  <si>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</si>
  <si>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</si>
  <si>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</si>
  <si>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</si>
  <si>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</si>
  <si>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</si>
  <si>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</si>
  <si>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</si>
  <si>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</si>
  <si>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</si>
  <si>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</si>
  <si>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</si>
  <si>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</si>
  <si>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</si>
  <si>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</si>
  <si>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</si>
  <si>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</si>
  <si>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</si>
  <si>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</si>
  <si>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</si>
  <si>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</si>
  <si>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</si>
  <si>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</si>
  <si>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</si>
  <si>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</si>
  <si>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</si>
  <si>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</si>
  <si>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</si>
  <si>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</si>
  <si>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</si>
  <si>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</si>
  <si>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</si>
  <si>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</si>
  <si>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</si>
  <si>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</si>
  <si>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</si>
  <si>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</si>
  <si>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</si>
  <si>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</si>
  <si>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</si>
  <si>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</si>
  <si>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</si>
  <si>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</si>
  <si>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</si>
  <si>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</si>
  <si>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</si>
  <si>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</si>
  <si>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</si>
  <si>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</si>
  <si>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</si>
  <si>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</si>
  <si>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</si>
  <si>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</si>
  <si>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</si>
  <si>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</si>
  <si>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</si>
  <si>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</si>
  <si>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</si>
  <si>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</si>
  <si>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</si>
  <si>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</si>
  <si>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</si>
  <si>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</si>
  <si>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</si>
  <si>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</si>
  <si>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</si>
  <si>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</si>
  <si>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</si>
  <si>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</si>
  <si>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</si>
  <si>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</si>
  <si>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</si>
  <si>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</si>
  <si>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</si>
  <si>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</si>
  <si>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</si>
  <si>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</si>
  <si>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</si>
  <si>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</si>
  <si>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</si>
  <si>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</si>
  <si>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</si>
  <si>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</si>
  <si>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</si>
  <si>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</si>
  <si>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</si>
  <si>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</si>
  <si>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</si>
  <si>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</si>
  <si>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</si>
  <si>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</si>
  <si>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</si>
  <si>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</si>
  <si>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</si>
  <si>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</si>
  <si>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</si>
  <si>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</si>
  <si>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</si>
  <si>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</si>
  <si>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</si>
  <si>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</si>
  <si>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</si>
  <si>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</si>
  <si>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</si>
  <si>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</si>
  <si>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</si>
  <si>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</si>
  <si>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</si>
  <si>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</si>
  <si>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</si>
  <si>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</si>
  <si>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</si>
  <si>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</si>
  <si>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</si>
  <si>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</si>
  <si>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</si>
  <si>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</si>
  <si>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</si>
  <si>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</si>
  <si>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</si>
  <si>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</si>
  <si>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</si>
  <si>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</si>
  <si>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</si>
  <si>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</si>
  <si>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</si>
  <si>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</si>
  <si>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</si>
  <si>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</si>
  <si>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</si>
  <si>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</si>
  <si>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</si>
  <si>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</si>
  <si>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</si>
  <si>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</si>
  <si>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</si>
  <si>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</si>
  <si>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</si>
  <si>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</si>
  <si>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</si>
  <si>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</si>
  <si>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</si>
  <si>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</si>
  <si>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</si>
  <si>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</si>
  <si>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</si>
  <si>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</si>
  <si>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</si>
  <si>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</si>
  <si>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</si>
  <si>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</si>
  <si>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</si>
  <si>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</si>
  <si>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</si>
  <si>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</si>
  <si>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</si>
  <si>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</si>
  <si>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</si>
  <si>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</si>
  <si>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</si>
  <si>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</si>
  <si>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</si>
  <si>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</si>
  <si>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</si>
  <si>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</si>
  <si>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</si>
  <si>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</si>
  <si>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</si>
  <si>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</si>
  <si>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</si>
  <si>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</si>
  <si>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</si>
  <si>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</si>
  <si>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</si>
  <si>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</si>
  <si>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</si>
  <si>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</si>
  <si>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</si>
  <si>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</si>
  <si>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</si>
  <si>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</si>
  <si>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</si>
  <si>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</si>
  <si>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</si>
  <si>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</si>
  <si>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</si>
  <si>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</si>
  <si>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</si>
  <si>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</si>
  <si>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</si>
  <si>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</si>
  <si>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</si>
  <si>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</si>
  <si>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</si>
  <si>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</si>
  <si>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</si>
  <si>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</si>
  <si>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</si>
  <si>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</si>
  <si>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</si>
  <si>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</si>
  <si>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</si>
  <si>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</si>
  <si>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</si>
  <si>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</si>
  <si>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</si>
  <si>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</si>
  <si>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</si>
  <si>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</si>
  <si>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</si>
  <si>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</si>
  <si>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</si>
  <si>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</si>
  <si>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</si>
  <si>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</si>
  <si>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</si>
  <si>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</si>
  <si>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</si>
  <si>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</si>
  <si>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</si>
  <si>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</si>
  <si>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</si>
  <si>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</si>
  <si>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</si>
  <si>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</si>
  <si>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</si>
  <si>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</si>
  <si>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</si>
  <si>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</si>
  <si>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</si>
  <si>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</si>
  <si>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</si>
  <si>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</si>
  <si>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</si>
  <si>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</si>
  <si>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</si>
  <si>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</si>
  <si>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</si>
  <si>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</si>
  <si>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</si>
  <si>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</si>
  <si>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</si>
  <si>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</si>
  <si>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</si>
  <si>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</si>
  <si>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</si>
  <si>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</si>
  <si>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</si>
  <si>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</si>
  <si>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</si>
  <si>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</si>
  <si>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</si>
  <si>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</si>
  <si>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</si>
  <si>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</si>
  <si>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</si>
  <si>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</si>
  <si>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</si>
  <si>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</si>
  <si>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</si>
  <si>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</si>
  <si>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</si>
  <si>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</si>
  <si>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</si>
  <si>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</si>
  <si>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</si>
  <si>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</si>
  <si>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</si>
  <si>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</si>
  <si>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</si>
  <si>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</si>
  <si>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</si>
  <si>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</si>
  <si>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서울</t>
    <phoneticPr fontId="21" type="noConversion"/>
  </si>
  <si>
    <t>경기_안양역푸르지오더샵</t>
    <phoneticPr fontId="21" type="noConversion"/>
  </si>
  <si>
    <t>경기_평촌트리지아</t>
    <phoneticPr fontId="35" type="noConversion"/>
  </si>
  <si>
    <t>경기도 안양시 동안구 귀인로98번길 12</t>
    <phoneticPr fontId="35" type="noConversion"/>
  </si>
  <si>
    <t>서울_청량리한양수자인그라시엘</t>
    <phoneticPr fontId="35" type="noConversion"/>
  </si>
  <si>
    <t>서울특별시 동대문구 고산자로32길 78</t>
    <phoneticPr fontId="35" type="noConversion"/>
  </si>
  <si>
    <t>경기_광명센트럴아이파크</t>
    <phoneticPr fontId="35" type="noConversion"/>
  </si>
  <si>
    <t>경기 광명시 광이로 49</t>
    <phoneticPr fontId="35" type="noConversion"/>
  </si>
  <si>
    <t>경기_힐스테이트더운정1단지</t>
    <phoneticPr fontId="35" type="noConversion"/>
  </si>
  <si>
    <t>경기 파주시 와석순환로515번길 70</t>
    <phoneticPr fontId="35" type="noConversion"/>
  </si>
  <si>
    <t>서울_상도2차두산위브트레지움</t>
    <phoneticPr fontId="35" type="noConversion"/>
  </si>
  <si>
    <t>서울 동작구 상도로 30길 40</t>
    <phoneticPr fontId="35" type="noConversion"/>
  </si>
  <si>
    <t>경기</t>
    <phoneticPr fontId="35" type="noConversion"/>
  </si>
  <si>
    <t>경기_DMC두산위브더퍼스트</t>
    <phoneticPr fontId="35" type="noConversion"/>
  </si>
  <si>
    <t>경기 고양시 덕양구 향기5로 66</t>
    <phoneticPr fontId="35" type="noConversion"/>
  </si>
  <si>
    <t>서울</t>
    <phoneticPr fontId="35" type="noConversion"/>
  </si>
  <si>
    <t>인천 서구 금정로 12</t>
    <phoneticPr fontId="35" type="noConversion"/>
  </si>
  <si>
    <t>설치예정일 미정</t>
    <phoneticPr fontId="21" type="noConversion"/>
  </si>
  <si>
    <t>서울시 동작구 시흥대로 606</t>
    <phoneticPr fontId="35" type="noConversion"/>
  </si>
  <si>
    <t>26.05월 설치예정</t>
    <phoneticPr fontId="21" type="noConversion"/>
  </si>
  <si>
    <t>경기도 고양시 일산동구 고풍로 55</t>
    <phoneticPr fontId="35" type="noConversion"/>
  </si>
  <si>
    <t>26.04월 말 설치예정</t>
    <phoneticPr fontId="21" type="noConversion"/>
  </si>
  <si>
    <t>서울_동작협성휴포레시그니처</t>
    <phoneticPr fontId="35" type="noConversion"/>
  </si>
  <si>
    <t>경기_더샵일산퍼스트월드 3단지</t>
    <phoneticPr fontId="35" type="noConversion"/>
  </si>
  <si>
    <t>인천</t>
    <phoneticPr fontId="35" type="noConversion"/>
  </si>
  <si>
    <t>인천_신검단중앙역풍경채어바니티1차</t>
    <phoneticPr fontId="35" type="noConversion"/>
  </si>
  <si>
    <t>경기_e편한세상광교</t>
    <phoneticPr fontId="35" type="noConversion"/>
  </si>
  <si>
    <t>경기 수원시 영통구 센트럴타운로 76</t>
    <phoneticPr fontId="35" type="noConversion"/>
  </si>
  <si>
    <t>디에이치퍼스티어아이파크</t>
    <phoneticPr fontId="35" type="noConversion"/>
  </si>
  <si>
    <t>서울 강남구 개포로 310</t>
    <phoneticPr fontId="35" type="noConversion"/>
  </si>
  <si>
    <t>내부(개별):1,800,000
외부(개별):1,800,000
하프(내부+외부):1,800,000
풀(내부+외부):3,600,000</t>
    <phoneticPr fontId="21" type="noConversion"/>
  </si>
  <si>
    <r>
      <rPr>
        <b/>
        <sz val="10"/>
        <color rgb="FF000000"/>
        <rFont val="Calibri"/>
        <family val="2"/>
        <scheme val="minor"/>
      </rPr>
      <t>*26.10</t>
    </r>
    <r>
      <rPr>
        <b/>
        <sz val="10"/>
        <color rgb="FF000000"/>
        <rFont val="Malgun Gothic"/>
        <family val="2"/>
        <charset val="129"/>
      </rPr>
      <t>월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말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계약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종료예정</t>
    </r>
    <r>
      <rPr>
        <b/>
        <sz val="10"/>
        <color rgb="FF000000"/>
        <rFont val="Calibri"/>
        <family val="2"/>
        <scheme val="minor"/>
      </rPr>
      <t xml:space="preserve">
*1</t>
    </r>
    <r>
      <rPr>
        <b/>
        <sz val="10"/>
        <color rgb="FF000000"/>
        <rFont val="Malgun Gothic"/>
        <family val="2"/>
        <charset val="129"/>
      </rPr>
      <t>개월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단위로만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계약</t>
    </r>
    <r>
      <rPr>
        <b/>
        <sz val="10"/>
        <color rgb="FF000000"/>
        <rFont val="Calibri"/>
        <family val="2"/>
        <scheme val="minor"/>
      </rPr>
      <t xml:space="preserve"> </t>
    </r>
    <r>
      <rPr>
        <b/>
        <sz val="10"/>
        <color rgb="FF000000"/>
        <rFont val="Malgun Gothic"/>
        <family val="2"/>
        <charset val="129"/>
      </rPr>
      <t>필요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</si>
</sst>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  <numFmt numFmtId="187" formatCode="0_);[Red]\(0\)"/>
  </numFmts>
  <fonts count="40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  <charset val="129"/>
    </font>
    <font>
      <b/>
      <sz val="10"/>
      <color rgb="FF000000"/>
      <name val="Arial"/>
      <family val="2"/>
    </font>
    <font>
      <sz val="12"/>
      <color rgb="FF000000"/>
      <name val="&quot;맑은 고딕&quot;"/>
      <charset val="129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  <charset val="129"/>
    </font>
    <font>
      <b/>
      <sz val="10"/>
      <color rgb="FF000000"/>
      <name val="&quot;맑은 고딕&quot;"/>
      <charset val="129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2"/>
      <charset val="129"/>
      <scheme val="minor"/>
    </font>
    <font>
      <sz val="8"/>
      <name val="맑은 고딕"/>
      <family val="2"/>
      <charset val="129"/>
    </font>
    <font>
      <sz val="9"/>
      <color theme="1"/>
      <name val="맑"/>
      <charset val="129"/>
    </font>
    <font>
      <sz val="9"/>
      <color theme="1"/>
      <name val="맑은 고딕"/>
      <family val="2"/>
      <charset val="129"/>
    </font>
    <font>
      <b/>
      <sz val="10"/>
      <color rgb="FF000000"/>
      <name val="Calibri"/>
      <family val="2"/>
      <scheme val="minor"/>
    </font>
    <font>
      <b/>
      <sz val="10"/>
      <color rgb="FF000000"/>
      <name val="Malgun Gothic"/>
      <family val="2"/>
      <charset val="129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8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29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/>
    <xf numFmtId="0" fontId="34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6" fillId="18" borderId="1" xfId="0" applyFont="1" applyFill="1" applyBorder="1" applyAlignment="1">
      <alignment horizontal="center" vertical="center"/>
    </xf>
    <xf numFmtId="0" fontId="36" fillId="0" borderId="25" xfId="0" applyFont="1" applyBorder="1" applyAlignment="1">
      <alignment horizontal="center" vertical="center" shrinkToFit="1"/>
    </xf>
    <xf numFmtId="0" fontId="22" fillId="21" borderId="25" xfId="0" applyFont="1" applyFill="1" applyBorder="1" applyAlignment="1">
      <alignment horizontal="center"/>
    </xf>
    <xf numFmtId="0" fontId="36" fillId="14" borderId="1" xfId="0" applyFont="1" applyFill="1" applyBorder="1" applyAlignment="1">
      <alignment horizontal="center" vertical="center"/>
    </xf>
    <xf numFmtId="187" fontId="36" fillId="0" borderId="25" xfId="0" applyNumberFormat="1" applyFont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0" fontId="37" fillId="19" borderId="28" xfId="0" applyFont="1" applyFill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 shrinkToFit="1"/>
    </xf>
    <xf numFmtId="0" fontId="37" fillId="19" borderId="25" xfId="0" applyFont="1" applyFill="1" applyBorder="1" applyAlignment="1">
      <alignment horizontal="center" vertical="center"/>
    </xf>
    <xf numFmtId="3" fontId="10" fillId="23" borderId="26" xfId="0" applyNumberFormat="1" applyFont="1" applyFill="1" applyBorder="1" applyAlignment="1">
      <alignment horizontal="center" vertical="center"/>
    </xf>
    <xf numFmtId="3" fontId="9" fillId="17" borderId="26" xfId="0" applyNumberFormat="1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3" fontId="10" fillId="17" borderId="26" xfId="0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3" fontId="10" fillId="16" borderId="26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2" fillId="24" borderId="25" xfId="0" applyFont="1" applyFill="1" applyBorder="1" applyAlignment="1">
      <alignment horizontal="center" vertical="center"/>
    </xf>
    <xf numFmtId="3" fontId="29" fillId="20" borderId="25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22" fillId="25" borderId="25" xfId="0" applyFont="1" applyFill="1" applyBorder="1" applyAlignment="1">
      <alignment horizont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3"/>
  <sheetViews>
    <sheetView tabSelected="1" workbookViewId="0">
      <pane ySplit="4" topLeftCell="A5" activePane="bottomLeft" state="frozen"/>
      <selection pane="bottomLeft" activeCell="H118" sqref="H118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29" customWidth="1"/>
    <col min="9" max="9" width="28" style="135" customWidth="1"/>
    <col min="10" max="10" width="36" customWidth="1"/>
    <col min="11" max="11" width="40.59765625" customWidth="1"/>
  </cols>
  <sheetData>
    <row r="1" spans="1:13" ht="36">
      <c r="A1" s="13"/>
      <c r="B1" s="164" t="s">
        <v>244</v>
      </c>
      <c r="C1" s="165"/>
      <c r="D1" s="165"/>
      <c r="E1" s="165"/>
      <c r="F1" s="165"/>
      <c r="G1" s="165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5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5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0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0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0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0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0">
        <v>210000</v>
      </c>
      <c r="I9" s="1"/>
      <c r="K9" s="22" t="s">
        <v>722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0">
        <v>120000</v>
      </c>
      <c r="I10" s="1"/>
      <c r="K10" s="22" t="s">
        <v>723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0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0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0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0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0">
        <v>210000</v>
      </c>
      <c r="I15" s="1"/>
      <c r="K15" s="145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0">
        <v>300000</v>
      </c>
      <c r="I16" s="1"/>
      <c r="K16" s="145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0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0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0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0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0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0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0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0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0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0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0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0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0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0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0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0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0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0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0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0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0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0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0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0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0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0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0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710</v>
      </c>
      <c r="E44" s="122" t="s">
        <v>183</v>
      </c>
      <c r="F44" s="124">
        <v>1299</v>
      </c>
      <c r="G44" s="125">
        <v>22</v>
      </c>
      <c r="H44" s="140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0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0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0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0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0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0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0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0">
        <v>140000</v>
      </c>
      <c r="I52" s="1"/>
    </row>
    <row r="53" spans="1:10" ht="15">
      <c r="A53" s="23"/>
      <c r="B53" s="122">
        <v>49</v>
      </c>
      <c r="C53" s="162" t="s">
        <v>3</v>
      </c>
      <c r="D53" s="160" t="s">
        <v>72</v>
      </c>
      <c r="E53" s="162" t="s">
        <v>193</v>
      </c>
      <c r="F53" s="163">
        <v>3375</v>
      </c>
      <c r="G53" s="118">
        <v>142</v>
      </c>
      <c r="H53" s="140">
        <v>400000</v>
      </c>
      <c r="I53" s="142" t="s">
        <v>721</v>
      </c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0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0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0">
        <v>210000</v>
      </c>
      <c r="I56" s="1"/>
    </row>
    <row r="57" spans="1:10" ht="15">
      <c r="A57" s="23"/>
      <c r="B57" s="11">
        <v>53</v>
      </c>
      <c r="C57" s="160" t="s">
        <v>3</v>
      </c>
      <c r="D57" s="160" t="s">
        <v>75</v>
      </c>
      <c r="E57" s="160" t="s">
        <v>197</v>
      </c>
      <c r="F57" s="161">
        <v>12032</v>
      </c>
      <c r="G57" s="118">
        <v>304</v>
      </c>
      <c r="H57" s="140">
        <v>3040000</v>
      </c>
      <c r="I57" s="142" t="s">
        <v>721</v>
      </c>
      <c r="J57" s="143"/>
    </row>
    <row r="58" spans="1:10" ht="15">
      <c r="A58" s="23"/>
      <c r="B58" s="122">
        <v>54</v>
      </c>
      <c r="C58" s="122" t="s">
        <v>3</v>
      </c>
      <c r="D58" s="123" t="s">
        <v>85</v>
      </c>
      <c r="E58" s="122" t="s">
        <v>198</v>
      </c>
      <c r="F58" s="124">
        <v>5678</v>
      </c>
      <c r="G58" s="125">
        <v>214</v>
      </c>
      <c r="H58" s="140">
        <v>600000</v>
      </c>
      <c r="I58" s="142"/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0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0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0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0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0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0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0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0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0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0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711</v>
      </c>
      <c r="E69" s="122" t="s">
        <v>211</v>
      </c>
      <c r="F69" s="124">
        <v>1234</v>
      </c>
      <c r="G69" s="125">
        <v>33</v>
      </c>
      <c r="H69" s="140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0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0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0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0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0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0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0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0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0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0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0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0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0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27</v>
      </c>
      <c r="H83" s="140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0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0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0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0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0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0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0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0">
        <v>420000</v>
      </c>
      <c r="I91" s="142" t="s">
        <v>721</v>
      </c>
      <c r="J91" s="143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60</v>
      </c>
      <c r="H92" s="140">
        <v>300000</v>
      </c>
      <c r="I92" s="144"/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0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0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0">
        <v>120000</v>
      </c>
      <c r="I95" s="1"/>
    </row>
    <row r="96" spans="1:10" ht="15">
      <c r="A96" s="3"/>
      <c r="B96" s="11">
        <v>92</v>
      </c>
      <c r="C96" s="119" t="s">
        <v>3</v>
      </c>
      <c r="D96" s="120" t="s">
        <v>124</v>
      </c>
      <c r="E96" s="119" t="s">
        <v>197</v>
      </c>
      <c r="F96" s="159">
        <v>12032</v>
      </c>
      <c r="G96" s="118">
        <v>24</v>
      </c>
      <c r="H96" s="140">
        <v>400000</v>
      </c>
      <c r="I96" s="142" t="s">
        <v>721</v>
      </c>
      <c r="J96" s="143"/>
    </row>
    <row r="97" spans="1:9" ht="15">
      <c r="A97" s="3"/>
      <c r="B97" s="11">
        <v>93</v>
      </c>
      <c r="C97" s="130" t="s">
        <v>3</v>
      </c>
      <c r="D97" s="139" t="s">
        <v>707</v>
      </c>
      <c r="E97" s="130" t="s">
        <v>241</v>
      </c>
      <c r="F97" s="134">
        <v>780</v>
      </c>
      <c r="G97" s="125">
        <v>25</v>
      </c>
      <c r="H97" s="140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0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0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0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0">
        <v>120000</v>
      </c>
      <c r="I101" s="104"/>
    </row>
    <row r="102" spans="1:9" ht="15">
      <c r="A102" s="3"/>
      <c r="B102" s="11">
        <v>98</v>
      </c>
      <c r="C102" s="136" t="s">
        <v>712</v>
      </c>
      <c r="D102" s="136" t="s">
        <v>708</v>
      </c>
      <c r="E102" s="136" t="s">
        <v>709</v>
      </c>
      <c r="F102" s="133">
        <v>999</v>
      </c>
      <c r="G102" s="137">
        <v>25</v>
      </c>
      <c r="H102" s="140">
        <v>120000</v>
      </c>
      <c r="I102" s="142" t="s">
        <v>718</v>
      </c>
    </row>
    <row r="103" spans="1:9" ht="15">
      <c r="A103" s="3"/>
      <c r="B103" s="11">
        <v>99</v>
      </c>
      <c r="C103" s="136" t="s">
        <v>712</v>
      </c>
      <c r="D103" s="136" t="s">
        <v>713</v>
      </c>
      <c r="E103" s="136" t="s">
        <v>715</v>
      </c>
      <c r="F103" s="133">
        <v>802</v>
      </c>
      <c r="G103" s="137">
        <v>19</v>
      </c>
      <c r="H103" s="140">
        <v>200000</v>
      </c>
      <c r="I103" s="1"/>
    </row>
    <row r="104" spans="1:9" ht="15">
      <c r="A104" s="3"/>
      <c r="B104" s="122">
        <v>100</v>
      </c>
      <c r="C104" s="136" t="s">
        <v>712</v>
      </c>
      <c r="D104" s="136" t="s">
        <v>714</v>
      </c>
      <c r="E104" s="136" t="s">
        <v>716</v>
      </c>
      <c r="F104" s="133">
        <v>752</v>
      </c>
      <c r="G104" s="137">
        <v>20</v>
      </c>
      <c r="H104" s="140">
        <v>200000</v>
      </c>
      <c r="I104" s="1"/>
    </row>
    <row r="105" spans="1:9" ht="15">
      <c r="A105" s="3"/>
      <c r="B105" s="11">
        <v>101</v>
      </c>
      <c r="C105" s="132" t="s">
        <v>8</v>
      </c>
      <c r="D105" s="136" t="s">
        <v>727</v>
      </c>
      <c r="E105" s="138" t="s">
        <v>717</v>
      </c>
      <c r="F105" s="133">
        <v>2736</v>
      </c>
      <c r="G105" s="125">
        <v>44</v>
      </c>
      <c r="H105" s="140">
        <v>300000</v>
      </c>
      <c r="I105" s="1"/>
    </row>
    <row r="106" spans="1:9" ht="15">
      <c r="A106" s="141"/>
      <c r="B106" s="11">
        <v>102</v>
      </c>
      <c r="C106" s="132" t="s">
        <v>8</v>
      </c>
      <c r="D106" s="136" t="s">
        <v>719</v>
      </c>
      <c r="E106" s="138" t="s">
        <v>720</v>
      </c>
      <c r="F106" s="133">
        <v>2586</v>
      </c>
      <c r="G106" s="125">
        <v>78</v>
      </c>
      <c r="H106" s="140">
        <v>300000</v>
      </c>
      <c r="I106" s="1"/>
    </row>
    <row r="107" spans="1:9" ht="15">
      <c r="B107" s="122">
        <v>103</v>
      </c>
      <c r="C107" s="132" t="s">
        <v>8</v>
      </c>
      <c r="D107" s="136" t="s">
        <v>724</v>
      </c>
      <c r="E107" s="136" t="s">
        <v>725</v>
      </c>
      <c r="F107" s="133">
        <v>3585</v>
      </c>
      <c r="G107" s="125">
        <v>70</v>
      </c>
      <c r="H107" s="140">
        <v>400000</v>
      </c>
      <c r="I107" s="1"/>
    </row>
    <row r="108" spans="1:9" ht="15">
      <c r="B108" s="11">
        <v>104</v>
      </c>
      <c r="C108" s="148" t="s">
        <v>8</v>
      </c>
      <c r="D108" s="149" t="s">
        <v>728</v>
      </c>
      <c r="E108" s="149" t="s">
        <v>729</v>
      </c>
      <c r="F108" s="133">
        <v>2417</v>
      </c>
      <c r="G108" s="125">
        <v>48</v>
      </c>
      <c r="H108" s="140">
        <v>300000</v>
      </c>
      <c r="I108" s="144"/>
    </row>
    <row r="109" spans="1:9" ht="15">
      <c r="B109" s="11">
        <v>105</v>
      </c>
      <c r="C109" s="148" t="s">
        <v>8</v>
      </c>
      <c r="D109" s="149" t="s">
        <v>730</v>
      </c>
      <c r="E109" s="149" t="s">
        <v>731</v>
      </c>
      <c r="F109" s="106">
        <v>1152</v>
      </c>
      <c r="G109" s="150">
        <v>7</v>
      </c>
      <c r="H109" s="140">
        <v>120000</v>
      </c>
      <c r="I109" s="147"/>
    </row>
    <row r="110" spans="1:9" ht="15">
      <c r="B110" s="122">
        <v>106</v>
      </c>
      <c r="C110" s="151" t="s">
        <v>8</v>
      </c>
      <c r="D110" s="149" t="s">
        <v>732</v>
      </c>
      <c r="E110" s="149" t="s">
        <v>733</v>
      </c>
      <c r="F110" s="106">
        <v>1957</v>
      </c>
      <c r="G110" s="150">
        <v>33</v>
      </c>
      <c r="H110" s="140">
        <v>250000</v>
      </c>
      <c r="I110" s="146"/>
    </row>
    <row r="111" spans="1:9" ht="15">
      <c r="B111" s="11">
        <v>107</v>
      </c>
      <c r="C111" s="151" t="s">
        <v>8</v>
      </c>
      <c r="D111" s="149" t="s">
        <v>734</v>
      </c>
      <c r="E111" s="149" t="s">
        <v>735</v>
      </c>
      <c r="F111" s="106">
        <v>744</v>
      </c>
      <c r="G111" s="150">
        <v>13</v>
      </c>
      <c r="H111" s="140">
        <v>120000</v>
      </c>
      <c r="I111" s="147"/>
    </row>
    <row r="112" spans="1:9" ht="15">
      <c r="B112" s="11">
        <v>108</v>
      </c>
      <c r="C112" s="148" t="s">
        <v>726</v>
      </c>
      <c r="D112" s="149" t="s">
        <v>736</v>
      </c>
      <c r="E112" s="152" t="s">
        <v>737</v>
      </c>
      <c r="F112" s="106">
        <v>582</v>
      </c>
      <c r="G112" s="150">
        <v>14</v>
      </c>
      <c r="H112" s="140">
        <v>150000</v>
      </c>
      <c r="I112" s="144"/>
    </row>
    <row r="113" spans="2:9" ht="15">
      <c r="B113" s="154">
        <v>109</v>
      </c>
      <c r="C113" s="155" t="s">
        <v>738</v>
      </c>
      <c r="D113" s="155" t="s">
        <v>739</v>
      </c>
      <c r="E113" s="155" t="s">
        <v>740</v>
      </c>
      <c r="F113" s="106">
        <v>1059</v>
      </c>
      <c r="G113" s="150">
        <v>27</v>
      </c>
      <c r="H113" s="140">
        <v>200000</v>
      </c>
      <c r="I113" s="144" t="s">
        <v>747</v>
      </c>
    </row>
    <row r="114" spans="2:9" ht="15">
      <c r="B114" s="122">
        <v>110</v>
      </c>
      <c r="C114" s="156" t="s">
        <v>741</v>
      </c>
      <c r="D114" s="155" t="s">
        <v>748</v>
      </c>
      <c r="E114" s="155" t="s">
        <v>744</v>
      </c>
      <c r="F114" s="106">
        <v>274</v>
      </c>
      <c r="G114" s="150">
        <v>6</v>
      </c>
      <c r="H114" s="140">
        <v>70000</v>
      </c>
      <c r="I114" s="144"/>
    </row>
    <row r="115" spans="2:9" ht="15">
      <c r="B115" s="11">
        <v>111</v>
      </c>
      <c r="C115" s="156" t="s">
        <v>738</v>
      </c>
      <c r="D115" s="155" t="s">
        <v>749</v>
      </c>
      <c r="E115" s="155" t="s">
        <v>746</v>
      </c>
      <c r="F115" s="106">
        <v>487</v>
      </c>
      <c r="G115" s="150">
        <v>8</v>
      </c>
      <c r="H115" s="140">
        <v>100000</v>
      </c>
      <c r="I115" s="144"/>
    </row>
    <row r="116" spans="2:9" ht="15">
      <c r="B116" s="11">
        <v>112</v>
      </c>
      <c r="C116" s="156" t="s">
        <v>750</v>
      </c>
      <c r="D116" s="155" t="s">
        <v>751</v>
      </c>
      <c r="E116" s="155" t="s">
        <v>742</v>
      </c>
      <c r="F116" s="106">
        <v>1425</v>
      </c>
      <c r="G116" s="150">
        <v>30</v>
      </c>
      <c r="H116" s="140">
        <v>250000</v>
      </c>
      <c r="I116" s="144" t="s">
        <v>743</v>
      </c>
    </row>
    <row r="117" spans="2:9" ht="15">
      <c r="B117" s="154">
        <v>113</v>
      </c>
      <c r="C117" s="157" t="s">
        <v>738</v>
      </c>
      <c r="D117" s="157" t="s">
        <v>752</v>
      </c>
      <c r="E117" s="157" t="s">
        <v>753</v>
      </c>
      <c r="F117" s="124">
        <v>1970</v>
      </c>
      <c r="G117" s="183">
        <v>38</v>
      </c>
      <c r="H117" s="140">
        <v>300000</v>
      </c>
      <c r="I117" s="144" t="s">
        <v>745</v>
      </c>
    </row>
    <row r="118" spans="2:9" ht="67" customHeight="1">
      <c r="B118" s="157">
        <v>114</v>
      </c>
      <c r="C118" s="153" t="s">
        <v>741</v>
      </c>
      <c r="D118" s="153" t="s">
        <v>754</v>
      </c>
      <c r="E118" s="153" t="s">
        <v>755</v>
      </c>
      <c r="F118" s="158">
        <v>6700</v>
      </c>
      <c r="G118" s="180">
        <v>454</v>
      </c>
      <c r="H118" s="181" t="s">
        <v>756</v>
      </c>
      <c r="I118" s="182" t="s">
        <v>757</v>
      </c>
    </row>
    <row r="119" spans="2:9" ht="14">
      <c r="D119" s="1"/>
      <c r="E119" s="1"/>
      <c r="F119" s="1"/>
      <c r="H119" s="1"/>
      <c r="I119" s="1"/>
    </row>
    <row r="120" spans="2:9" ht="14">
      <c r="D120" s="1"/>
      <c r="E120" s="1"/>
      <c r="F120" s="1"/>
      <c r="H120" s="1"/>
      <c r="I120" s="1"/>
    </row>
    <row r="121" spans="2:9" ht="14">
      <c r="D121" s="1"/>
      <c r="E121" s="1"/>
      <c r="F121" s="1"/>
      <c r="H121" s="1"/>
      <c r="I121" s="1"/>
    </row>
    <row r="122" spans="2:9" ht="14">
      <c r="D122" s="1"/>
      <c r="E122" s="1"/>
      <c r="F122" s="1"/>
      <c r="H122" s="1"/>
      <c r="I122" s="1"/>
    </row>
    <row r="123" spans="2:9" ht="14">
      <c r="D123" s="1"/>
      <c r="E123" s="1"/>
      <c r="F123" s="1"/>
      <c r="H123" s="1"/>
      <c r="I123" s="1"/>
    </row>
    <row r="124" spans="2:9" ht="14">
      <c r="D124" s="1"/>
      <c r="E124" s="1"/>
      <c r="F124" s="1"/>
      <c r="H124" s="1"/>
      <c r="I124" s="1"/>
    </row>
    <row r="125" spans="2:9" ht="14">
      <c r="D125" s="1"/>
      <c r="E125" s="1"/>
      <c r="F125" s="1"/>
      <c r="H125" s="1"/>
      <c r="I125" s="1"/>
    </row>
    <row r="126" spans="2:9" ht="14">
      <c r="D126" s="1"/>
      <c r="E126" s="1"/>
      <c r="F126" s="1"/>
      <c r="H126" s="1"/>
      <c r="I126" s="1"/>
    </row>
    <row r="127" spans="2:9" ht="14">
      <c r="D127" s="1"/>
      <c r="E127" s="1"/>
      <c r="F127" s="1"/>
      <c r="H127" s="1"/>
      <c r="I127" s="1"/>
    </row>
    <row r="128" spans="2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69" t="s">
        <v>454</v>
      </c>
      <c r="B1" s="170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71" t="s">
        <v>455</v>
      </c>
      <c r="O1" s="170"/>
      <c r="P1" s="7"/>
      <c r="Q1" s="7"/>
      <c r="R1" s="7"/>
      <c r="S1" s="7"/>
      <c r="T1" s="7"/>
      <c r="U1" s="7"/>
      <c r="V1" s="7"/>
      <c r="W1" s="7"/>
      <c r="X1" s="7"/>
      <c r="Y1" s="7"/>
      <c r="Z1" s="171" t="s">
        <v>456</v>
      </c>
      <c r="AA1" s="170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66">
        <f>SUM(AB3:AB5)</f>
        <v>4</v>
      </c>
      <c r="AL3" s="172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67"/>
      <c r="AL4" s="167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68"/>
      <c r="AL5" s="168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73">
        <f>SUM(AB6:AB9)</f>
        <v>1</v>
      </c>
      <c r="AL6" s="174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67"/>
      <c r="AL7" s="167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67"/>
      <c r="AL8" s="167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68"/>
      <c r="AL9" s="168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66"/>
      <c r="AL10" s="166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67"/>
      <c r="AL11" s="167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67"/>
      <c r="AL12" s="167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68"/>
      <c r="AL13" s="168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75" t="s">
        <v>545</v>
      </c>
      <c r="M4" s="81">
        <v>45299</v>
      </c>
      <c r="N4" s="82" t="s">
        <v>546</v>
      </c>
      <c r="O4" s="80">
        <v>500000</v>
      </c>
      <c r="P4" s="178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76"/>
      <c r="M5" s="81">
        <v>45313</v>
      </c>
      <c r="N5" s="82" t="s">
        <v>546</v>
      </c>
      <c r="O5" s="80">
        <v>300000</v>
      </c>
      <c r="P5" s="176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77"/>
      <c r="M6" s="81">
        <v>45322</v>
      </c>
      <c r="N6" s="82" t="s">
        <v>546</v>
      </c>
      <c r="O6" s="80">
        <v>200000</v>
      </c>
      <c r="P6" s="17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79" t="s">
        <v>549</v>
      </c>
      <c r="M8" s="81">
        <v>45595</v>
      </c>
      <c r="N8" s="82" t="s">
        <v>550</v>
      </c>
      <c r="O8" s="80">
        <v>400000</v>
      </c>
      <c r="P8" s="178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76"/>
      <c r="M9" s="81">
        <v>45573</v>
      </c>
      <c r="N9" s="82" t="s">
        <v>550</v>
      </c>
      <c r="O9" s="80">
        <v>100000</v>
      </c>
      <c r="P9" s="17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76"/>
      <c r="M10" s="81">
        <v>45570</v>
      </c>
      <c r="N10" s="82" t="s">
        <v>550</v>
      </c>
      <c r="O10" s="80">
        <v>20000</v>
      </c>
      <c r="P10" s="17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77"/>
      <c r="M11" s="81">
        <v>45566</v>
      </c>
      <c r="N11" s="82" t="s">
        <v>548</v>
      </c>
      <c r="O11" s="80">
        <v>13212</v>
      </c>
      <c r="P11" s="17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2026-05-13T02:37:58Z</dcterms:modified>
</cp:coreProperties>
</file>