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-yujin/Desktop/HT/대행사/"/>
    </mc:Choice>
  </mc:AlternateContent>
  <xr:revisionPtr revIDLastSave="0" documentId="8_{116003EA-E403-9D4A-AA12-7B1BD3516C8C}" xr6:coauthVersionLast="47" xr6:coauthVersionMax="47" xr10:uidLastSave="{00000000-0000-0000-0000-000000000000}"/>
  <bookViews>
    <workbookView xWindow="18440" yWindow="500" windowWidth="38400" windowHeight="19180" xr2:uid="{00000000-000D-0000-FFFF-FFFF00000000}"/>
  </bookViews>
  <sheets>
    <sheet name="HT_로컬파트너사" sheetId="14" r:id="rId1"/>
    <sheet name="디지털게시판" sheetId="19" state="hidden" r:id="rId2"/>
    <sheet name="KTskylife" sheetId="20" state="hidden" r:id="rId3"/>
    <sheet name="구글지출" sheetId="21" state="hidden" r:id="rId4"/>
    <sheet name="영업현황의 사본" sheetId="22" state="hidden" r:id="rId5"/>
    <sheet name="상담유무" sheetId="23" state="hidden" r:id="rId6"/>
  </sheets>
  <definedNames>
    <definedName name="_xlnm._FilterDatabase" localSheetId="1" hidden="1">디지털게시판!$A$2:$AC$67</definedName>
    <definedName name="_xlnm._FilterDatabase" localSheetId="5" hidden="1">상담유무!$C$1:$E$5011</definedName>
    <definedName name="_xlnm._FilterDatabase" localSheetId="4" hidden="1">'영업현황의 사본'!$B$1:$M$1000</definedName>
    <definedName name="_xlnm._FilterDatabase" localSheetId="0" hidden="1">HT_로컬파트너사!$B$4:$J$106</definedName>
  </definedNames>
  <calcPr calcId="191029"/>
  <customWorkbookViews>
    <customWorkbookView name="필터 1" guid="{6A353864-4074-44AA-8593-C374248438D1}" maximized="1" windowWidth="0" windowHeight="0" activeSheetId="0"/>
    <customWorkbookView name="화정" guid="{05072BD3-3EEF-4229-A409-BBA14C2F6BA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2" l="1"/>
  <c r="I2" i="22"/>
  <c r="H2" i="22"/>
  <c r="G2" i="22"/>
  <c r="F2" i="22"/>
  <c r="D2" i="22"/>
  <c r="F10" i="21"/>
  <c r="P8" i="21"/>
  <c r="P4" i="21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AJ7" i="20"/>
  <c r="AI7" i="20"/>
  <c r="AH7" i="20"/>
  <c r="AG7" i="20"/>
  <c r="AF7" i="20"/>
  <c r="AE7" i="20"/>
  <c r="AD7" i="20"/>
  <c r="AC7" i="20"/>
  <c r="AB7" i="20"/>
  <c r="O7" i="20"/>
  <c r="AJ6" i="20"/>
  <c r="AL6" i="20" s="1"/>
  <c r="AI6" i="20"/>
  <c r="AH6" i="20"/>
  <c r="AG6" i="20"/>
  <c r="AF6" i="20"/>
  <c r="AE6" i="20"/>
  <c r="AD6" i="20"/>
  <c r="AC6" i="20"/>
  <c r="AB6" i="20"/>
  <c r="AK6" i="20" s="1"/>
  <c r="O6" i="20"/>
  <c r="AB4" i="20" s="1"/>
  <c r="AJ5" i="20"/>
  <c r="AI5" i="20"/>
  <c r="AH5" i="20"/>
  <c r="AG5" i="20"/>
  <c r="AF5" i="20"/>
  <c r="AE5" i="20"/>
  <c r="AD5" i="20"/>
  <c r="AC5" i="20"/>
  <c r="AB5" i="20"/>
  <c r="O5" i="20"/>
  <c r="AJ4" i="20"/>
  <c r="AI4" i="20"/>
  <c r="AH4" i="20"/>
  <c r="AG4" i="20"/>
  <c r="AF4" i="20"/>
  <c r="AE4" i="20"/>
  <c r="AD4" i="20"/>
  <c r="AC4" i="20"/>
  <c r="O4" i="20"/>
  <c r="AJ3" i="20"/>
  <c r="AL3" i="20" s="1"/>
  <c r="AI3" i="20"/>
  <c r="AH3" i="20"/>
  <c r="AG3" i="20"/>
  <c r="AF3" i="20"/>
  <c r="AE3" i="20"/>
  <c r="AD3" i="20"/>
  <c r="AC3" i="20"/>
  <c r="O3" i="20"/>
  <c r="AB3" i="20" s="1"/>
  <c r="AK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6" authorId="0" shapeId="0" xr:uid="{00000000-0006-0000-1500-000001000000}">
      <text>
        <r>
          <rPr>
            <sz val="10"/>
            <color rgb="FF000000"/>
            <rFont val="Calibri"/>
            <family val="2"/>
            <scheme val="minor"/>
          </rPr>
          <t>중복건</t>
        </r>
      </text>
    </comment>
  </commentList>
</comments>
</file>

<file path=xl/sharedStrings.xml><?xml version="1.0" encoding="utf-8"?>
<sst xmlns="http://schemas.openxmlformats.org/spreadsheetml/2006/main" count="1205" uniqueCount="761">
  <si>
    <t>지역</t>
  </si>
  <si>
    <t>주소</t>
  </si>
  <si>
    <t>비고</t>
  </si>
  <si>
    <t>서울</t>
  </si>
  <si>
    <t>-</t>
  </si>
  <si>
    <t>대구</t>
  </si>
  <si>
    <t>인천</t>
  </si>
  <si>
    <t>광주</t>
  </si>
  <si>
    <t>경기</t>
  </si>
  <si>
    <t>강원</t>
  </si>
  <si>
    <t>문의자</t>
  </si>
  <si>
    <t>연락처</t>
  </si>
  <si>
    <t>상담내용</t>
  </si>
  <si>
    <t>결과</t>
  </si>
  <si>
    <t>상품</t>
  </si>
  <si>
    <t>상호명</t>
  </si>
  <si>
    <t>이름</t>
  </si>
  <si>
    <t>거절</t>
  </si>
  <si>
    <t>김상훈</t>
  </si>
  <si>
    <t>어시스트레치</t>
  </si>
  <si>
    <t>학원</t>
  </si>
  <si>
    <t>구분</t>
  </si>
  <si>
    <t>에어컨청소</t>
  </si>
  <si>
    <t>기아자동차</t>
  </si>
  <si>
    <t>정지영</t>
  </si>
  <si>
    <t>1주</t>
  </si>
  <si>
    <t>금액문의</t>
  </si>
  <si>
    <t>잠실리센츠</t>
  </si>
  <si>
    <t>DMC래미안e편한세상</t>
  </si>
  <si>
    <t>카페</t>
  </si>
  <si>
    <t>광명역GIDC</t>
  </si>
  <si>
    <t>아파트분양</t>
  </si>
  <si>
    <t>이상민</t>
  </si>
  <si>
    <t>과일가게</t>
  </si>
  <si>
    <t>계약</t>
  </si>
  <si>
    <t>완료</t>
  </si>
  <si>
    <t>가부</t>
  </si>
  <si>
    <t>010-4233-8300</t>
  </si>
  <si>
    <t>과외</t>
  </si>
  <si>
    <t>홍혜주</t>
  </si>
  <si>
    <t>010-7494-4560</t>
  </si>
  <si>
    <t>1주 가격 안내</t>
  </si>
  <si>
    <t>010-2275-4738</t>
  </si>
  <si>
    <t>상담일</t>
  </si>
  <si>
    <t>피자가게</t>
  </si>
  <si>
    <t>세대수</t>
  </si>
  <si>
    <t>위시티일산자이4단지아파트</t>
  </si>
  <si>
    <t>다산역자연앤푸르지오</t>
  </si>
  <si>
    <t>계양효성해링턴플레이스</t>
  </si>
  <si>
    <t>검단신도시한신더휴</t>
  </si>
  <si>
    <t>송도롯데캐슬캠퍼스타운</t>
  </si>
  <si>
    <t>광교더리브</t>
  </si>
  <si>
    <t>세종 새나루8단지</t>
  </si>
  <si>
    <t>디에트르송도시그니쳐뷰</t>
  </si>
  <si>
    <t>송도아메리칸타운아이파크(주상복합)</t>
  </si>
  <si>
    <t>화정동 유니버시아드3단지</t>
  </si>
  <si>
    <t>일산중산8단지</t>
  </si>
  <si>
    <t>힐스테이트 청량리 더퍼스트</t>
  </si>
  <si>
    <t>산성역자이푸르지오1단지</t>
  </si>
  <si>
    <t>e편한세상반월나노시티역아파트</t>
  </si>
  <si>
    <t>힐스테이트리슈빌 강일</t>
  </si>
  <si>
    <t>동백역 월드메르디앙</t>
  </si>
  <si>
    <t>롯데캐슬골드파크2차아파트</t>
  </si>
  <si>
    <t>청주 테크노폴리스 푸르지오</t>
  </si>
  <si>
    <t>롯데캐슬더퍼스트1차아파트</t>
  </si>
  <si>
    <t>회천파밀리에더퍼스트</t>
  </si>
  <si>
    <t>한화포레나 인천구월</t>
  </si>
  <si>
    <t>롯데캐슬더퍼스트2차아파트</t>
  </si>
  <si>
    <t>계양임광그대가</t>
  </si>
  <si>
    <t>2주</t>
  </si>
  <si>
    <t>왕길역로열파크씨티푸르지오</t>
  </si>
  <si>
    <t>더샵송도마리나베이</t>
  </si>
  <si>
    <t>개포자이프레지던스</t>
  </si>
  <si>
    <t>힐스테이트송도더테라스</t>
  </si>
  <si>
    <t>롯데캐슬골드파크1차아파트</t>
  </si>
  <si>
    <t>올림픽파크포레온</t>
  </si>
  <si>
    <t>구월 롯데캐슬골드2단지</t>
  </si>
  <si>
    <t>힐스테이트자이계양</t>
  </si>
  <si>
    <t>하남3지구 모아엘가</t>
  </si>
  <si>
    <t>산성역자이푸르지오2단지</t>
  </si>
  <si>
    <t>대구월성협성휴포레</t>
  </si>
  <si>
    <t>경기용인보평역서희스타힐스리버파크</t>
  </si>
  <si>
    <t>광명역써밋플레이스아파트</t>
  </si>
  <si>
    <t>서울강동선사현대아파트</t>
  </si>
  <si>
    <t>청주센트럴자이</t>
  </si>
  <si>
    <t>잠실엘스</t>
  </si>
  <si>
    <t>상무힐스테이트</t>
  </si>
  <si>
    <t>매탄현대힐스테이트</t>
  </si>
  <si>
    <t>청주 오창 중앙하이츠빌</t>
  </si>
  <si>
    <t>광교호반베르디움</t>
  </si>
  <si>
    <t>010-4240-4176</t>
  </si>
  <si>
    <t>원주 대원칸타빌</t>
  </si>
  <si>
    <t>구월아시아드선수촌6단지</t>
  </si>
  <si>
    <t>광명이편한세상센트레빌</t>
  </si>
  <si>
    <t>010-8269-6385</t>
  </si>
  <si>
    <t>등촌주공3단지</t>
  </si>
  <si>
    <t>고덕센트럴푸르지오</t>
  </si>
  <si>
    <t>송도자이더스타</t>
  </si>
  <si>
    <t>e편한세상부평그랑힐스</t>
  </si>
  <si>
    <t>구월아시아드선수촌7단지</t>
  </si>
  <si>
    <t>신흥아이파크</t>
  </si>
  <si>
    <t>갈매한라비발디</t>
  </si>
  <si>
    <t>부평캐슬앤더샵퍼스트</t>
  </si>
  <si>
    <t>도램마을9단지제일풍경채센트럴</t>
  </si>
  <si>
    <t>갈매6단지</t>
  </si>
  <si>
    <t>송도자이크리스탈오션</t>
  </si>
  <si>
    <t>호반써밋라센트</t>
  </si>
  <si>
    <t>광교풍경채어바니티</t>
  </si>
  <si>
    <t>서울동대문장안현대홈타운1차</t>
  </si>
  <si>
    <t>010-9978-1528</t>
  </si>
  <si>
    <t>인천더샵부평센트럴시티</t>
  </si>
  <si>
    <t>화정유니버시아드2단지</t>
  </si>
  <si>
    <t>운암벽산블루밍3단지</t>
  </si>
  <si>
    <t>인천학마을영남아파트</t>
  </si>
  <si>
    <t>e편한세상신촌 아파트</t>
  </si>
  <si>
    <t>철산역롯데캐슬&amp;SKVIEW클래스티지</t>
  </si>
  <si>
    <t>청주</t>
  </si>
  <si>
    <t>보라매자이더포레스트</t>
  </si>
  <si>
    <t>트리우스 광명</t>
  </si>
  <si>
    <t>축구교실</t>
  </si>
  <si>
    <t>풍무푸르지오</t>
  </si>
  <si>
    <t>강동롯데캐슬퍼스트</t>
  </si>
  <si>
    <t>관악벽산블루밍</t>
  </si>
  <si>
    <t>010-2260-8430</t>
  </si>
  <si>
    <t>올림픽파크포레온커뮤니티센터</t>
  </si>
  <si>
    <t>오산세마효성</t>
  </si>
  <si>
    <t>이화신동아파밀리에</t>
  </si>
  <si>
    <t>평촌센텀퍼스트</t>
  </si>
  <si>
    <t>경기_힐스테이트부평</t>
  </si>
  <si>
    <t>서울_아크로리버하임아파트</t>
  </si>
  <si>
    <t>현장명</t>
  </si>
  <si>
    <t>실제수량</t>
  </si>
  <si>
    <t>의정부 고산수자인디에스티지1단지</t>
  </si>
  <si>
    <t>경기 의정부시 서광로 121</t>
  </si>
  <si>
    <t>광천 e편한세상</t>
  </si>
  <si>
    <t>광주 서구 화운로 278</t>
  </si>
  <si>
    <t>* 대상 : 상기표에 있는 해당 단지</t>
  </si>
  <si>
    <t>목포</t>
  </si>
  <si>
    <t>목포남교트윈스타</t>
  </si>
  <si>
    <t>전남 목포시 수문로 32</t>
  </si>
  <si>
    <t>인천 남동구 구월동 1524</t>
  </si>
  <si>
    <t>인천 남동구 선수촌로 7</t>
  </si>
  <si>
    <t>노원프레미어스엠코</t>
  </si>
  <si>
    <t>서울시 노원구 동일로 986</t>
  </si>
  <si>
    <t>인천 연수구 송도동 316</t>
  </si>
  <si>
    <t>경기도 오산시 양산동 667-1</t>
  </si>
  <si>
    <t>인천 연수구 송도동 155</t>
  </si>
  <si>
    <t>광주 서구 상무대로911번길 42</t>
  </si>
  <si>
    <t>강원도 원주시 태장동 2737</t>
  </si>
  <si>
    <t>인천 계양구 서운동 230</t>
  </si>
  <si>
    <t>인천 계양구 황어로 139</t>
  </si>
  <si>
    <t>인천 계양구 서운동 203</t>
  </si>
  <si>
    <t>논현하늘마을LH4단지</t>
  </si>
  <si>
    <t>인천 남동구 논현로 81</t>
  </si>
  <si>
    <t>인천 서구 당하동 1254-1</t>
  </si>
  <si>
    <t>평택지제역 힐스테이트</t>
  </si>
  <si>
    <t>경기도 평택시 지제동삭1로 91</t>
  </si>
  <si>
    <t>남양주 진건한신2차</t>
  </si>
  <si>
    <t>경기도 남양주시 진건읍 용정리 750-5</t>
  </si>
  <si>
    <t>광주 서구 화운로 24</t>
  </si>
  <si>
    <t>세종</t>
  </si>
  <si>
    <t>세종 집현동 4-2</t>
  </si>
  <si>
    <t>서울특별시 동대문구 왕산로36길 6</t>
  </si>
  <si>
    <t>경기도 남양주시 다산동 6084</t>
  </si>
  <si>
    <t>광주시 북구 운암동 69</t>
  </si>
  <si>
    <t>광주광역시 서구 화정동 1610</t>
  </si>
  <si>
    <t>경기도 고양시 일산동구 식사동 1504</t>
  </si>
  <si>
    <t>인천 연수구 송도동 149</t>
  </si>
  <si>
    <t>경기 수원시 영통구 하동 1013</t>
  </si>
  <si>
    <t>경기 고양시 일산동구 중산동 1574</t>
  </si>
  <si>
    <t>경기 용인시 기흥구 동백죽전대로 283</t>
  </si>
  <si>
    <t>광천 현대 힐스테이트</t>
  </si>
  <si>
    <t>광주시 서구 광천동 899</t>
  </si>
  <si>
    <t>충청북도 청주시 흥덕구 송절동 851</t>
  </si>
  <si>
    <t>경기 화성시 효행로 1337-23</t>
  </si>
  <si>
    <t>인천 연수구 인천타워대로 393</t>
  </si>
  <si>
    <t>서울 강동구 아리수로93다길 80 힐스테이트 리슈빌강일</t>
  </si>
  <si>
    <t>세종 보람로 15</t>
  </si>
  <si>
    <t>한강 쌍용 아파트</t>
  </si>
  <si>
    <t>서울 동작구 본동 150</t>
  </si>
  <si>
    <t>경기도 성남시 수정구 수정로 288</t>
  </si>
  <si>
    <t>경기도 성남시 수정구 수정로 260</t>
  </si>
  <si>
    <t>광주시 광산구 단전둘레길 15</t>
  </si>
  <si>
    <t>서울시 강동구 천중로 264</t>
  </si>
  <si>
    <t>경기도 양주시 덕계로 111</t>
  </si>
  <si>
    <t>강원도 원주시 지정면 신지정로 250</t>
  </si>
  <si>
    <t>강원도 원주시 지정면 가곡로 70</t>
  </si>
  <si>
    <t>강원도 원주시 지정면 가골로 50</t>
  </si>
  <si>
    <t>강원도 원주시 지정면 신지정로 300</t>
  </si>
  <si>
    <t>인천 서구 왕길동 133-3번지</t>
  </si>
  <si>
    <t>인천 남동구 구월동 70-16</t>
  </si>
  <si>
    <t>수완지구 모아엘가</t>
  </si>
  <si>
    <t>광주시 광산구 수완로33번길 76</t>
  </si>
  <si>
    <t>서울시 강남구 삼성로 14</t>
  </si>
  <si>
    <t>인천 연수구 랜드마크로 160</t>
  </si>
  <si>
    <t>경기도 광명시 양지로 16</t>
  </si>
  <si>
    <t>경기도 수원시 영통구 권광로260번길 36</t>
  </si>
  <si>
    <t>서울시 강동구 양재대로 1300</t>
  </si>
  <si>
    <t>서울 송파구 올림픽로 99</t>
  </si>
  <si>
    <t>충청북도 청주시 청원구 오창읍 오창중앙로 32</t>
  </si>
  <si>
    <t>인천 계양구 봉오대로651번길 9</t>
  </si>
  <si>
    <t>인천 남동구 호구포로 803</t>
  </si>
  <si>
    <t>대구 달서구 조암로10길 11</t>
  </si>
  <si>
    <t>충청북도 청주시 상당구 단재로 316</t>
  </si>
  <si>
    <t>청주가경자이</t>
  </si>
  <si>
    <t>충청북도 청주시 흥덕구 서현로 30</t>
  </si>
  <si>
    <t>서울특별시 강동구 상암로 11 ( 암사동 )</t>
  </si>
  <si>
    <t>서울특별시 동대문구 장안벚꽃로 107</t>
  </si>
  <si>
    <t>경기 용인시 처인구 한터로 55-30</t>
  </si>
  <si>
    <t>광주상무라인동산아파트</t>
  </si>
  <si>
    <t>광주광역시 서구 상무평화로 64 치평동1174-3</t>
  </si>
  <si>
    <t>충북 청주시 흥덕구 대신로73번길 14</t>
  </si>
  <si>
    <t>인천 계양구 장제로 878</t>
  </si>
  <si>
    <t>경기도 광명시 오리로 801</t>
  </si>
  <si>
    <t>경기도 수원시 영통구 광교호수공원로 45</t>
  </si>
  <si>
    <t>서울 강서구 강서로56나길 37</t>
  </si>
  <si>
    <t>서울시 강동구 고덕로 399</t>
  </si>
  <si>
    <t>서울시 동작구 여의대방로22길 121</t>
  </si>
  <si>
    <t>인천 중구 인항로 30</t>
  </si>
  <si>
    <t>경기도 구리시 갈매중앙로 131</t>
  </si>
  <si>
    <t>인천 부평구 산청로 60</t>
  </si>
  <si>
    <t>수완노블랜드2차</t>
  </si>
  <si>
    <t>광주 광산구 임방울대로358번길 21</t>
  </si>
  <si>
    <t>인천 부평구 산청로 97</t>
  </si>
  <si>
    <t>인천 부평구 열우물로 90</t>
  </si>
  <si>
    <t>경기도 구리시 갈매중앙로 25</t>
  </si>
  <si>
    <t>인천 연수구 랜드마크로360번길 40</t>
  </si>
  <si>
    <t>동탄레이크파크 자연＆ e편한세상</t>
  </si>
  <si>
    <t>경기 화성시 동탄순환대로8길 27</t>
  </si>
  <si>
    <t>경기도 오산시 죽담로 107</t>
  </si>
  <si>
    <t>인천 연수구 아카데미로343번길 63</t>
  </si>
  <si>
    <t>경기 용인시 기흥구 흥덕1로 20</t>
  </si>
  <si>
    <t>경기도 광명시 시청로 50</t>
  </si>
  <si>
    <t>경기도 김포시 풍무동 1060</t>
  </si>
  <si>
    <t>서울시 서대문구 북아현로1가길 20</t>
  </si>
  <si>
    <t>경기도 광명시 광이로 95</t>
  </si>
  <si>
    <t>경기도 안양시 동안구 갈산로 15</t>
  </si>
  <si>
    <t>서울특별시 강동구 고덕로 131</t>
  </si>
  <si>
    <t>서울특별시 관악구 은천로 93</t>
  </si>
  <si>
    <t>힐스테이트세운센트럴2단지</t>
  </si>
  <si>
    <t>서울 중구 을지로15길 32</t>
  </si>
  <si>
    <t>서울 강동구 아리수로 375</t>
  </si>
  <si>
    <t>서울 동작구 현충로52(흑석동)</t>
  </si>
  <si>
    <t>인천 부평구 경원대로 1192</t>
  </si>
  <si>
    <t>HT POST 초기단지 활성화 특별 프로모션</t>
  </si>
  <si>
    <t>금액(월)</t>
  </si>
  <si>
    <t>정책</t>
  </si>
  <si>
    <t>* 영상 가맹전 구좌 확인 필수</t>
  </si>
  <si>
    <t>* 1구좌(15초) 기준</t>
  </si>
  <si>
    <t>* 부가세 별도</t>
  </si>
  <si>
    <t>만첨 표기</t>
  </si>
  <si>
    <t>판매 불가 표기</t>
  </si>
  <si>
    <t>담당자</t>
  </si>
  <si>
    <t>전화번호</t>
  </si>
  <si>
    <t>_x0008_인입일</t>
  </si>
  <si>
    <t>_x0008_연락처</t>
  </si>
  <si>
    <t>희망아파트</t>
  </si>
  <si>
    <t>기간</t>
  </si>
  <si>
    <t>계약금액</t>
  </si>
  <si>
    <t>세탁기분해청소</t>
  </si>
  <si>
    <t>010-2661-8559</t>
  </si>
  <si>
    <t>대행사 문의 / 간단한 자료요청</t>
  </si>
  <si>
    <t>010-2167-1735</t>
  </si>
  <si>
    <t>전단</t>
  </si>
  <si>
    <t>부동산 이화공인중개사</t>
  </si>
  <si>
    <t>010-8360-1235</t>
  </si>
  <si>
    <t>금액문의 / 대표상의</t>
  </si>
  <si>
    <t>010-2112-7161</t>
  </si>
  <si>
    <t>선착순으로 오라해서 왔는데 변경되서 문의 금액안내</t>
  </si>
  <si>
    <t>삼성전자에어컨세척</t>
  </si>
  <si>
    <t>010-5028-3269</t>
  </si>
  <si>
    <t>계산서아파트로 필요하며 예산비용 초과</t>
  </si>
  <si>
    <t>LG인터넷</t>
  </si>
  <si>
    <t>010-8080-6260</t>
  </si>
  <si>
    <t>본사에서 개인별로 지원 5~7 기존 14만원때 안내받고 
같이할사람 찾아서 연락준다함 / 없음</t>
  </si>
  <si>
    <t>태풍학원</t>
  </si>
  <si>
    <t>010-8909-7152</t>
  </si>
  <si>
    <t>전체단지 필요없음 비용부담</t>
  </si>
  <si>
    <t>시기상조 거절</t>
  </si>
  <si>
    <t>개인 수학과외</t>
  </si>
  <si>
    <t>010-8375-4008</t>
  </si>
  <si>
    <t>금액문의, 다음주/다다음주 가부</t>
  </si>
  <si>
    <t>스케줄이 밀려서 6월예상</t>
  </si>
  <si>
    <t>여의도 롯데엠파이어 방제실</t>
  </si>
  <si>
    <t>02-761-2601</t>
  </si>
  <si>
    <t>문의이유 알수없음</t>
  </si>
  <si>
    <t>전단지 전체 사용후 고민해보겠다고함</t>
  </si>
  <si>
    <t>010-8830-0187</t>
  </si>
  <si>
    <t>전단지 전부 사용하고 광고비용은 따로안한다함</t>
  </si>
  <si>
    <t>한생연 과학교육</t>
  </si>
  <si>
    <t>010-3158-1364</t>
  </si>
  <si>
    <t>금액문의 / 가부결정</t>
  </si>
  <si>
    <t>현대백화점 신촌점</t>
  </si>
  <si>
    <t>010-2920-3838</t>
  </si>
  <si>
    <t>금액문의 아파트설정중 가부</t>
  </si>
  <si>
    <t>프리즘의원(피부과)</t>
  </si>
  <si>
    <t>전용후</t>
  </si>
  <si>
    <t>010-7317-2526</t>
  </si>
  <si>
    <t>금액안내</t>
  </si>
  <si>
    <t>SK인터넷</t>
  </si>
  <si>
    <t>010-8181-8156</t>
  </si>
  <si>
    <t>유비이엔티(대행사)</t>
  </si>
  <si>
    <t>010-8286-9758</t>
  </si>
  <si>
    <t>대행사운영 금액부담</t>
  </si>
  <si>
    <t>방문과외</t>
  </si>
  <si>
    <t>김귀민</t>
  </si>
  <si>
    <t>010-6800-0745</t>
  </si>
  <si>
    <t>입주민 / 종이게시판경험 가격부담</t>
  </si>
  <si>
    <t>김상우</t>
  </si>
  <si>
    <t>010-8805-8936</t>
  </si>
  <si>
    <t>입주민 / 상의후 가부</t>
  </si>
  <si>
    <t>인재영</t>
  </si>
  <si>
    <t>010-3203-0737</t>
  </si>
  <si>
    <t>간단금액 안내</t>
  </si>
  <si>
    <t>수능영어학원</t>
  </si>
  <si>
    <t>010-2554-2013</t>
  </si>
  <si>
    <t>여의도공작</t>
  </si>
  <si>
    <t>오픈전매장 금액안내</t>
  </si>
  <si>
    <t>코킹작업(실리콘)</t>
  </si>
  <si>
    <t>010-5339-3328</t>
  </si>
  <si>
    <t>당산동부센트레빌</t>
  </si>
  <si>
    <t>상의후가부</t>
  </si>
  <si>
    <t>홍익도담 미술학원</t>
  </si>
  <si>
    <t>이동호</t>
  </si>
  <si>
    <t>010-2703-3330</t>
  </si>
  <si>
    <t>송도불고기</t>
  </si>
  <si>
    <t>010-9016-6072</t>
  </si>
  <si>
    <t>리센츠 가격문의 게시판안내</t>
  </si>
  <si>
    <t>주식회사 아이오프미디어</t>
  </si>
  <si>
    <t>권혁상</t>
  </si>
  <si>
    <t>010-5624-156</t>
  </si>
  <si>
    <t>종이게시판 게시해본적있고 위에 보고후 연락주신다고함 1,2주 제안</t>
  </si>
  <si>
    <t>엘지전자</t>
  </si>
  <si>
    <t>간단문의 가격안내</t>
  </si>
  <si>
    <t>주식회사 바흐 아이엔에스</t>
  </si>
  <si>
    <t>010-2666-0438</t>
  </si>
  <si>
    <t>가격안내</t>
  </si>
  <si>
    <t>랜드로버 외제차(대행사)</t>
  </si>
  <si>
    <t>010-4045-3903</t>
  </si>
  <si>
    <t>지점장승인필요 송파파크센트럴도 안내받았다고함</t>
  </si>
  <si>
    <t>과학박물관</t>
  </si>
  <si>
    <t>010-4162-9090</t>
  </si>
  <si>
    <t>기존 55만원진행 75안내 생각해보신다고함</t>
  </si>
  <si>
    <t>운동샵홍보</t>
  </si>
  <si>
    <t>010-4242-2223</t>
  </si>
  <si>
    <t>사업자나오기전 나온후 재문의예정</t>
  </si>
  <si>
    <t>트레이닝스튜디오빗칼</t>
  </si>
  <si>
    <t>010-7565-7715</t>
  </si>
  <si>
    <t>담당자들 사으이후 가부</t>
  </si>
  <si>
    <t>피아노 개인레슨</t>
  </si>
  <si>
    <t>010-5091-5854</t>
  </si>
  <si>
    <t>가격안내 더 알아보고 연락주신다고함</t>
  </si>
  <si>
    <t>유무선통신판매</t>
  </si>
  <si>
    <t>010-8396-0089</t>
  </si>
  <si>
    <t>가격안내 사진전달 통신사있는지 재문의</t>
  </si>
  <si>
    <t>어라운드태제</t>
  </si>
  <si>
    <t>조수곤</t>
  </si>
  <si>
    <t>010-6407-1690</t>
  </si>
  <si>
    <t>공연홍보 제작사와 협의해보고 연락주신다고함</t>
  </si>
  <si>
    <t>수행과수능 국어논술</t>
  </si>
  <si>
    <t>02-555-9968</t>
  </si>
  <si>
    <t>40초씩 2면 55에 사용했다고함 010-3730-6295</t>
  </si>
  <si>
    <t>종양내과</t>
  </si>
  <si>
    <t>010-7228-3460</t>
  </si>
  <si>
    <t>실장, 상의후 연락 제작까지안내</t>
  </si>
  <si>
    <t>모두클린</t>
  </si>
  <si>
    <t>최영찬</t>
  </si>
  <si>
    <t>010-3888-2426</t>
  </si>
  <si>
    <t>답사후 결정 금액안내</t>
  </si>
  <si>
    <t>달콤한책크림북</t>
  </si>
  <si>
    <t>한성문</t>
  </si>
  <si>
    <t>010-3915-0005</t>
  </si>
  <si>
    <t>기존44,입주민혜택33에 진행이력, 비용부담 거절</t>
  </si>
  <si>
    <t>봄꽃산부인과</t>
  </si>
  <si>
    <t>이현성</t>
  </si>
  <si>
    <t>개원전 6월말쯤 재연락 예정</t>
  </si>
  <si>
    <t>이문형</t>
  </si>
  <si>
    <t>010-7579-4788</t>
  </si>
  <si>
    <t>초등수학과외</t>
  </si>
  <si>
    <t>정정희</t>
  </si>
  <si>
    <t>010-5445-8550</t>
  </si>
  <si>
    <t>기존 55만원안내받음 다음엔 75(부가세별도</t>
  </si>
  <si>
    <t>보건복지부 정부사업시행 기관</t>
  </si>
  <si>
    <t>010-899-4635</t>
  </si>
  <si>
    <t>전단, 영상 가격 안내 확인 후 연락주신다고 함</t>
  </si>
  <si>
    <t>플랜빛</t>
  </si>
  <si>
    <t>김기섭</t>
  </si>
  <si>
    <t>대행사 / 광고주와 상의 후 연락주신다고 함</t>
  </si>
  <si>
    <t>아카데미</t>
  </si>
  <si>
    <t>010-8671-8609</t>
  </si>
  <si>
    <t>여의도공작 영상 전달 / 고민해보고 연락주신다고함</t>
  </si>
  <si>
    <t>영여과외</t>
  </si>
  <si>
    <t>이정현</t>
  </si>
  <si>
    <t>010-2770-7924</t>
  </si>
  <si>
    <t>가격 안내  확인 후 연락주신다고 함</t>
  </si>
  <si>
    <t>달달아이스크림</t>
  </si>
  <si>
    <t>010-4279-5701</t>
  </si>
  <si>
    <t>동부센트레빌</t>
  </si>
  <si>
    <t>1주일 6만원안내</t>
  </si>
  <si>
    <t>원장님께서 대표번호로 연락주신다고 함</t>
  </si>
  <si>
    <t>라스텔라아카데미</t>
  </si>
  <si>
    <t>010-5447-6600</t>
  </si>
  <si>
    <t>전단, 영상 금액 안내 비용부담으로 추후 연락주신다고 함</t>
  </si>
  <si>
    <t>아이유안과</t>
  </si>
  <si>
    <t>변경된 금액 안내, 명함전달, JPG파일 가능한지 문의</t>
  </si>
  <si>
    <t>보관창고</t>
  </si>
  <si>
    <t>010-8379-9652</t>
  </si>
  <si>
    <t>1주 금액 안내</t>
  </si>
  <si>
    <t>010-7323-2974</t>
  </si>
  <si>
    <t>7월 8~14일 진행 희망 / 7월 초 결제 예정</t>
  </si>
  <si>
    <t>조이스투어</t>
  </si>
  <si>
    <t>조태홍</t>
  </si>
  <si>
    <t>010-6300-9670</t>
  </si>
  <si>
    <t>7~8월 진행 예정 가격 안내</t>
  </si>
  <si>
    <t>010-3113-5037</t>
  </si>
  <si>
    <t>가격 안내 / 명함 전달</t>
  </si>
  <si>
    <t>잠실오피스텔 분양 홍보</t>
  </si>
  <si>
    <t>010-9037-9990</t>
  </si>
  <si>
    <t>1주 가격 안내 상의 후 연락주신다고 함 명함 전달</t>
  </si>
  <si>
    <t>하니웰 대리점</t>
  </si>
  <si>
    <t>010-7137-8511</t>
  </si>
  <si>
    <t>4면 사용 가능 한지와 추가 할인 문의</t>
  </si>
  <si>
    <t>인테리어공사</t>
  </si>
  <si>
    <t>장철주</t>
  </si>
  <si>
    <t>010-6473-5120</t>
  </si>
  <si>
    <t>전단, 영상 가격 안내</t>
  </si>
  <si>
    <t>이수안</t>
  </si>
  <si>
    <t>010-3433-5431</t>
  </si>
  <si>
    <t>잠실리센츠,DMC래미안,당산동부센트레빌,여의도공작 가격 안내 명함 전달</t>
  </si>
  <si>
    <t>조정철</t>
  </si>
  <si>
    <t>010-9612-0456</t>
  </si>
  <si>
    <t>1주 가격 안내 명함 전달</t>
  </si>
  <si>
    <t>학습과학센터대치학원</t>
  </si>
  <si>
    <t>임상우</t>
  </si>
  <si>
    <t>010-9332-1563</t>
  </si>
  <si>
    <t>권's 독학과학학원</t>
  </si>
  <si>
    <t>권경은</t>
  </si>
  <si>
    <t>010-8674-2897</t>
  </si>
  <si>
    <t>6/27 송출 희망</t>
  </si>
  <si>
    <t>(주)메이드에듀</t>
  </si>
  <si>
    <t>정호연</t>
  </si>
  <si>
    <t>010-2787-8973</t>
  </si>
  <si>
    <t>7월 초 학원 오픈 / 이미지 여부 확인 후 연락주신다고 함</t>
  </si>
  <si>
    <t>기존 55만원으로 진행 이후 75만원으로 진행</t>
  </si>
  <si>
    <t>김지연</t>
  </si>
  <si>
    <t>010-3734-3478</t>
  </si>
  <si>
    <t>어린이체육학원</t>
  </si>
  <si>
    <t>나종관</t>
  </si>
  <si>
    <t>010-3034-5128</t>
  </si>
  <si>
    <t>1주 가격 안내 / 7월 초에서 중순쯤 생각중</t>
  </si>
  <si>
    <t>010-7128-6634</t>
  </si>
  <si>
    <t>어시스트레치블루</t>
  </si>
  <si>
    <t>정준용</t>
  </si>
  <si>
    <t>010 8254 6858 / 010 6353 5934</t>
  </si>
  <si>
    <t>스카이라이프 영업DB</t>
  </si>
  <si>
    <t>일일데이터</t>
  </si>
  <si>
    <t>주간데이터</t>
  </si>
  <si>
    <t>상담현황</t>
  </si>
  <si>
    <t>계약일</t>
  </si>
  <si>
    <t>계약금</t>
  </si>
  <si>
    <t>_x0008_신청일자</t>
  </si>
  <si>
    <t>성함</t>
  </si>
  <si>
    <t>희망지역</t>
  </si>
  <si>
    <t>상담희망시간</t>
  </si>
  <si>
    <t>통화일시</t>
  </si>
  <si>
    <t>일자</t>
  </si>
  <si>
    <t>DB접수</t>
  </si>
  <si>
    <t>도달</t>
  </si>
  <si>
    <t>노출</t>
  </si>
  <si>
    <t>빈도</t>
  </si>
  <si>
    <t>클릭</t>
  </si>
  <si>
    <t>CTR</t>
  </si>
  <si>
    <t>CPC</t>
  </si>
  <si>
    <t>CPM</t>
  </si>
  <si>
    <t>지출금액</t>
  </si>
  <si>
    <t>주간DB</t>
  </si>
  <si>
    <t>주간지출금액</t>
  </si>
  <si>
    <t>핏드포레</t>
  </si>
  <si>
    <t>윤종덕</t>
  </si>
  <si>
    <t>010-9905-2382</t>
  </si>
  <si>
    <t>수원 팔달구, 영통구</t>
  </si>
  <si>
    <t>김영사</t>
  </si>
  <si>
    <t>월 50만원 3개월진행시 1개월 무료 명함 전달 메일로 내용필요 fitdeforet@kakao.com</t>
  </si>
  <si>
    <t>10월 2주차</t>
  </si>
  <si>
    <t>10. 18 ~ 10. 20</t>
  </si>
  <si>
    <t>풋플렉스 뉴욕네일 쉐라톤 호텔점</t>
  </si>
  <si>
    <t>이해미</t>
  </si>
  <si>
    <t>시간 무관</t>
  </si>
  <si>
    <t xml:space="preserve">인천시 연수구 송도동
</t>
  </si>
  <si>
    <t>30% 할증지역 최소 65만원 안내</t>
  </si>
  <si>
    <t>10월 3주차</t>
  </si>
  <si>
    <t>10. 21 ~ 10. 27</t>
  </si>
  <si>
    <t>한다솥상암점</t>
  </si>
  <si>
    <t>손인태</t>
  </si>
  <si>
    <t xml:space="preserve">상암동
</t>
  </si>
  <si>
    <t>월 50 비용 부담</t>
  </si>
  <si>
    <t xml:space="preserve">주간변경 : 토-금 </t>
  </si>
  <si>
    <t>10월 4주차</t>
  </si>
  <si>
    <t>10. 28 ~ 11. 03</t>
  </si>
  <si>
    <t>고기담아</t>
  </si>
  <si>
    <t>권영호</t>
  </si>
  <si>
    <t xml:space="preserve">경북고령군
</t>
  </si>
  <si>
    <t>현재 통화 어려움 다시 연락주신다고함</t>
  </si>
  <si>
    <t>11월 1주차</t>
  </si>
  <si>
    <t>11. 04 ~ 11. 10</t>
  </si>
  <si>
    <t>뉴욕바닷가재 부천상동점</t>
  </si>
  <si>
    <t>진상호</t>
  </si>
  <si>
    <t>부천시,인천부평구</t>
  </si>
  <si>
    <t>Btv진행중인 업체 / btv영상 수정 후 kt로 송출 계획 4~5시 재통화</t>
  </si>
  <si>
    <t>11월 2주차</t>
  </si>
  <si>
    <t>11. 11  ~ 11. 17</t>
  </si>
  <si>
    <t>11월 3주차</t>
  </si>
  <si>
    <t>11. 18 ~ 11. 24</t>
  </si>
  <si>
    <t>11월 4주차</t>
  </si>
  <si>
    <t>11. 25 ~ 12. 01</t>
  </si>
  <si>
    <t>12월 1주차</t>
  </si>
  <si>
    <t>12. 02 ~ 12. 08</t>
  </si>
  <si>
    <t>목금토일 : 3만원 유지</t>
  </si>
  <si>
    <t>12월 2주차</t>
  </si>
  <si>
    <t>12. 09 ~ 12. 15</t>
  </si>
  <si>
    <t>12월 3주차</t>
  </si>
  <si>
    <t>12.16 ~ 12. 22</t>
  </si>
  <si>
    <t>12월 4주차</t>
  </si>
  <si>
    <t>12. 23 ~ 12. 29</t>
  </si>
  <si>
    <t>-%</t>
  </si>
  <si>
    <t>광고중지 &gt; 계정변경 : KT타운보드</t>
  </si>
  <si>
    <t>구글애즈 결재</t>
  </si>
  <si>
    <t>세금계산서 발행</t>
  </si>
  <si>
    <t>이전달에 남은금액</t>
  </si>
  <si>
    <t>캠페인+조정 = 10%</t>
  </si>
  <si>
    <t>결제 내역</t>
  </si>
  <si>
    <t>완료된결제 / 실패한 결제 / 대기결제 / 거부결제 모두 표기</t>
  </si>
  <si>
    <t>일시</t>
  </si>
  <si>
    <t>결제</t>
  </si>
  <si>
    <t>순비용</t>
  </si>
  <si>
    <t>전월 잔액</t>
  </si>
  <si>
    <t>캠페인</t>
  </si>
  <si>
    <t>조정</t>
  </si>
  <si>
    <t>세금 및 수수료</t>
  </si>
  <si>
    <t>최종잔액</t>
  </si>
  <si>
    <t>월별</t>
  </si>
  <si>
    <t>상세일시</t>
  </si>
  <si>
    <t>청구방식</t>
  </si>
  <si>
    <t>결제금</t>
  </si>
  <si>
    <t>월별 결제금</t>
  </si>
  <si>
    <t>1월</t>
  </si>
  <si>
    <t>수동결제</t>
  </si>
  <si>
    <t>11월</t>
  </si>
  <si>
    <t>월별청구</t>
  </si>
  <si>
    <t>10월</t>
  </si>
  <si>
    <t>기준액청구</t>
  </si>
  <si>
    <t>순비용 = 캠페인 비용 + 세금 및 수수료 - 조정</t>
  </si>
  <si>
    <t>영업현황</t>
  </si>
  <si>
    <t>계약달성</t>
  </si>
  <si>
    <t>임영재</t>
  </si>
  <si>
    <t>연락X</t>
  </si>
  <si>
    <t>실장통화,제안서요청</t>
  </si>
  <si>
    <t>금요일 2:30&gt;월욜2:30 변경</t>
  </si>
  <si>
    <t>제주도에 있음,카톡소통예정,잘못보냈다함</t>
  </si>
  <si>
    <t>연결안됨</t>
  </si>
  <si>
    <t>한건희</t>
  </si>
  <si>
    <t>영상만들어드려요 원하시는 동두천지역권으로 집에 skb셋탑 있는집에 나가요 tvn같은채널 다 포함해서 86개 종편채널에나가요 내일와봐라 점심이후 저녁재료준비전 암때나</t>
  </si>
  <si>
    <t>월요일재통화 본사직원이라함 지역선택해서 해당지역 가정집티비에 나간다 광주선운은 15만원정도 송출비용들거다 월요일다섯시재통화메모</t>
  </si>
  <si>
    <t>제안서,견적서 요청,사이비같음</t>
  </si>
  <si>
    <t>4월 마지막주 미팅예정,조율중</t>
  </si>
  <si>
    <t>상담거절</t>
  </si>
  <si>
    <t>거절 이상한아주머니</t>
  </si>
  <si>
    <t>남대표, 광고회사임 제안서달라해서 카톡으로전달완료</t>
  </si>
  <si>
    <t>여사장 금요일 한시반</t>
  </si>
  <si>
    <t>카톡소통중</t>
  </si>
  <si>
    <t>부동산업종임 이미 비티비홈페이지로 다 알고잇움 지금포항출장가있어서 상담하기는어려울것같다함 나중에다시연락한번해봐야할듯</t>
  </si>
  <si>
    <t>희근과장상담,거절</t>
  </si>
  <si>
    <t>내일두시</t>
  </si>
  <si>
    <t>타업체에서 30원 주고 가맹해서 차이 있나 싶어서 문의,그쪽한달 우선 지켜보고 연락</t>
  </si>
  <si>
    <t>오늘 미팅</t>
  </si>
  <si>
    <t>여사장 배민깃발 몇개빼고 코로나잠잠해져서 홀장사 시작하려한다 수성구에서운영 수요일두시에 연락달라 미팅일정잡자</t>
  </si>
  <si>
    <t>분양사무소 영업사원, 수요일 열한시쯤 연락달라 미팅일정잡자</t>
  </si>
  <si>
    <t>연락안됨</t>
  </si>
  <si>
    <t>오늘오라함</t>
  </si>
  <si>
    <t>비용만 물어보고 끊음</t>
  </si>
  <si>
    <t>다섯시 여사장</t>
  </si>
  <si>
    <t>월15 6개월,12개월 주엽동6천세대 샘플전달</t>
  </si>
  <si>
    <t>5/4 부재</t>
  </si>
  <si>
    <t>부산 서구,중구 견적서 15초 ( 705,000 + 100,000) 1~2개월</t>
  </si>
  <si>
    <t>10만원도 부담</t>
  </si>
  <si>
    <t>5/4 6시 조금전으로 재통화</t>
  </si>
  <si>
    <t>세대수 부족 전화 안함</t>
  </si>
  <si>
    <t>5/4 3~4시 재통화</t>
  </si>
  <si>
    <t>견적서 전달 다음주 화요일 미팅후 결정</t>
  </si>
  <si>
    <t>연수구견적 47,700세대 15초 샘플 먼저 전달  청라/미추홀구 견적서 전달(계약)</t>
  </si>
  <si>
    <t>5/9 6시 재통화 5/10부재</t>
  </si>
  <si>
    <t>공식홈페이지로 문의 다시 준 업체</t>
  </si>
  <si>
    <t>사상구 반복7회또는 10회 견적 15초커스텀 성우 명함,소개서전달</t>
  </si>
  <si>
    <t>하남,월곡,첨단12,신가,운남,수완  15초커스텀+성우 50만원 이상 청약시 1+1</t>
  </si>
  <si>
    <t>재통화</t>
  </si>
  <si>
    <t>5/9 재통화</t>
  </si>
  <si>
    <t>5/9부재 5/10부재</t>
  </si>
  <si>
    <t xml:space="preserve">7원 종로구,중구,동대문구 61,000세대 427,000원 3개월하면 1+1이야기 </t>
  </si>
  <si>
    <t>수원시전체 상담 15초(6원) 137,300세대 이번주는 바빠서 다음주 가부</t>
  </si>
  <si>
    <t>인천전지역(강화,중구 빼고 15초 상담) 제작 20 성우포함</t>
  </si>
  <si>
    <t>7원 비티비광고 진행중, 대전지역으로 이야기했고 소개비있냐고 물어봄</t>
  </si>
  <si>
    <t>7원</t>
  </si>
  <si>
    <t>제이티에드넷 상담 2개월90듣고 그 이후 45만원 3만건 &gt; 6개월 12개월 30만원 프로모션 50% 100 %</t>
  </si>
  <si>
    <t>인테리어, 보육원 운영중 월30 경기광주,양평,  강남구아니면 강서구</t>
  </si>
  <si>
    <t>전주 완산구 1개월 30만원 샘플영상 전달</t>
  </si>
  <si>
    <t>창녕군전체 2천세대 송출 10만원 제작10만원</t>
  </si>
  <si>
    <t>제작비10 송출 월30 재상담 명함전달</t>
  </si>
  <si>
    <t>2개월 60 3개월부터 30 가능 제작비 10</t>
  </si>
  <si>
    <t>_x0008_티비광고 하기싫다고 얼버무리더니 수업중이라서 이따 통화하기로함</t>
  </si>
  <si>
    <t>구월동 송출 희망 1달 견적 2달하면 프로모션 이야기 의심많으심</t>
  </si>
  <si>
    <t xml:space="preserve">영화, 콘서트 6월에 미팅하자고함 서울,경기권 전체 </t>
  </si>
  <si>
    <t>2개월 60 제작 10 15초 소개서전달</t>
  </si>
  <si>
    <t>마산 2개월60 제작10 15초 기준 소개서전달</t>
  </si>
  <si>
    <t>고잔동 세대수로 상담 10회반복으로 견적 10~20회 쏜다했음 샘플영상전달</t>
  </si>
  <si>
    <t>부천시 전체세대 1회반복 15초 제작</t>
  </si>
  <si>
    <t>상담유무</t>
  </si>
  <si>
    <t>명태천국 명태조림감자탕</t>
  </si>
  <si>
    <t>유인호</t>
  </si>
  <si>
    <t>리엠아트센터</t>
  </si>
  <si>
    <t>이우성</t>
  </si>
  <si>
    <t>곱분이곱창</t>
  </si>
  <si>
    <t>이성환</t>
  </si>
  <si>
    <t>문시종 아틀리에 하우스</t>
  </si>
  <si>
    <t>문시종</t>
  </si>
  <si>
    <t>가나플라워</t>
  </si>
  <si>
    <t>오용덕</t>
  </si>
  <si>
    <t>마늘콩짜장</t>
  </si>
  <si>
    <t>김민석</t>
  </si>
  <si>
    <t>잇쏘프레시</t>
  </si>
  <si>
    <t>박정웅</t>
  </si>
  <si>
    <t>헬쓰천사엔젤</t>
  </si>
  <si>
    <t>심언주</t>
  </si>
  <si>
    <t>K브랜드방송진흥원</t>
  </si>
  <si>
    <t>김원국</t>
  </si>
  <si>
    <t>다오</t>
  </si>
  <si>
    <t>유진희</t>
  </si>
  <si>
    <t>꼬마베베</t>
  </si>
  <si>
    <t>정성준</t>
  </si>
  <si>
    <t>애드드림즈</t>
  </si>
  <si>
    <t>황소숯불꼼장어</t>
  </si>
  <si>
    <t>이영란</t>
  </si>
  <si>
    <t>하민희</t>
  </si>
  <si>
    <t>부산 낙곱새회관</t>
  </si>
  <si>
    <t>김성수</t>
  </si>
  <si>
    <t>신창팥죽</t>
  </si>
  <si>
    <t>김태호</t>
  </si>
  <si>
    <t>카직카</t>
  </si>
  <si>
    <t>박재민</t>
  </si>
  <si>
    <t>더숲</t>
  </si>
  <si>
    <t>깜상남매찜닭</t>
  </si>
  <si>
    <t>서이안</t>
  </si>
  <si>
    <t>리피아아파트리피아</t>
  </si>
  <si>
    <t>조은경</t>
  </si>
  <si>
    <t>(주)진흥</t>
  </si>
  <si>
    <t>이동진</t>
  </si>
  <si>
    <t>퀀텀 글로벌</t>
  </si>
  <si>
    <t>인기명 인천 송도점</t>
  </si>
  <si>
    <t>윤기정</t>
  </si>
  <si>
    <t>유재석</t>
  </si>
  <si>
    <t>제이캐디아카데미</t>
  </si>
  <si>
    <t>조연희</t>
  </si>
  <si>
    <t>진짜공부입시학원</t>
  </si>
  <si>
    <t>신동균</t>
  </si>
  <si>
    <t>아트앤하트강일리버파크점</t>
  </si>
  <si>
    <t>신선아</t>
  </si>
  <si>
    <t>치킨과바람피자</t>
  </si>
  <si>
    <t>민주협</t>
  </si>
  <si>
    <t>인천에어컨청소</t>
  </si>
  <si>
    <t>홍승만</t>
  </si>
  <si>
    <t>클린온</t>
  </si>
  <si>
    <t>곽아름</t>
  </si>
  <si>
    <t>제주바다활고등어회</t>
  </si>
  <si>
    <t>이준명</t>
  </si>
  <si>
    <t>010-5349-5879</t>
  </si>
  <si>
    <t>중복매장</t>
  </si>
  <si>
    <t>한국배관세척관리협회대전지부</t>
  </si>
  <si>
    <t>김정주</t>
  </si>
  <si>
    <t>솔숲</t>
  </si>
  <si>
    <t>김재열</t>
  </si>
  <si>
    <t>아이에스지산업</t>
  </si>
  <si>
    <t>신성섭</t>
  </si>
  <si>
    <t>010-3281-7713</t>
  </si>
  <si>
    <t>섬김</t>
  </si>
  <si>
    <t>박무학</t>
  </si>
  <si>
    <t>온트국제학교</t>
  </si>
  <si>
    <t>담당</t>
  </si>
  <si>
    <t>보청기</t>
  </si>
  <si>
    <t>강희항</t>
  </si>
  <si>
    <t>캐슬스터디카페</t>
  </si>
  <si>
    <t>정정미</t>
  </si>
  <si>
    <t>37,5</t>
  </si>
  <si>
    <t>조인숙</t>
  </si>
  <si>
    <t>온테이블</t>
  </si>
  <si>
    <t>손정욱</t>
  </si>
  <si>
    <t>메밀밭도야지</t>
  </si>
  <si>
    <t>윤이섭</t>
  </si>
  <si>
    <t>노블스위밍랩</t>
  </si>
  <si>
    <t>정의선</t>
  </si>
  <si>
    <t>수라삼계탕</t>
  </si>
  <si>
    <t>김해님</t>
  </si>
  <si>
    <t>생각공작소</t>
  </si>
  <si>
    <t>김후숙</t>
  </si>
  <si>
    <t>인천</t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</si>
  <si>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부평역해링턴플레이스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</si>
  <si>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동수로</t>
    </r>
    <r>
      <rPr>
        <sz val="9"/>
        <color theme="1"/>
        <rFont val="Arial"/>
        <family val="2"/>
      </rPr>
      <t xml:space="preserve"> 36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</si>
  <si>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학익로</t>
    </r>
    <r>
      <rPr>
        <sz val="9"/>
        <color theme="1"/>
        <rFont val="Arial"/>
        <family val="2"/>
      </rPr>
      <t xml:space="preserve"> 30</t>
    </r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</si>
  <si>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시티오씨엘</t>
    </r>
    <r>
      <rPr>
        <sz val="9"/>
        <color theme="1"/>
        <rFont val="Arial"/>
        <family val="2"/>
      </rPr>
      <t>4</t>
    </r>
    <r>
      <rPr>
        <sz val="9"/>
        <color theme="1"/>
        <rFont val="Malgun Gothic"/>
        <family val="2"/>
        <charset val="129"/>
      </rPr>
      <t>단지</t>
    </r>
    <phoneticPr fontId="21" type="noConversion"/>
  </si>
  <si>
    <r>
      <rPr>
        <sz val="9"/>
        <color theme="1"/>
        <rFont val="Malgun Gothic"/>
        <family val="2"/>
        <charset val="129"/>
      </rPr>
      <t>서울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고덕풍경채어바니티</t>
    </r>
    <phoneticPr fontId="21" type="noConversion"/>
  </si>
  <si>
    <t>경기_이편한세상구성역플랫폼시티</t>
    <phoneticPr fontId="21" type="noConversion"/>
  </si>
  <si>
    <t>경기도 용인시 기흥구 구성로 15</t>
    <phoneticPr fontId="21" type="noConversion"/>
  </si>
  <si>
    <r>
      <rPr>
        <sz val="9"/>
        <color rgb="FF000000"/>
        <rFont val="Malgun Gothic"/>
        <family val="2"/>
        <charset val="129"/>
      </rPr>
      <t>강동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헤리티지자이</t>
    </r>
    <phoneticPr fontId="21" type="noConversion"/>
  </si>
  <si>
    <r>
      <rPr>
        <sz val="9"/>
        <color rgb="FF000000"/>
        <rFont val="Malgun Gothic"/>
        <family val="2"/>
        <charset val="129"/>
      </rPr>
      <t>청주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복대금호어울림</t>
    </r>
    <phoneticPr fontId="21" type="noConversion"/>
  </si>
  <si>
    <t>용인</t>
    <phoneticPr fontId="21" type="noConversion"/>
  </si>
  <si>
    <t>서울_답십리파크자이</t>
    <phoneticPr fontId="21" type="noConversion"/>
  </si>
  <si>
    <t>서울_센트레빌아스테리움시그니처</t>
    <phoneticPr fontId="21" type="noConversion"/>
  </si>
  <si>
    <t>서울시 동대문구 답십리로56길 105</t>
    <phoneticPr fontId="21" type="noConversion"/>
  </si>
  <si>
    <t>서울시 은평구 갈현로7길 25</t>
    <phoneticPr fontId="21" type="noConversion"/>
  </si>
  <si>
    <r>
      <rPr>
        <sz val="9"/>
        <color theme="1"/>
        <rFont val="Malgun Gothic"/>
        <family val="2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안양천서로</t>
    </r>
    <r>
      <rPr>
        <sz val="9"/>
        <color theme="1"/>
        <rFont val="Arial"/>
        <family val="2"/>
      </rPr>
      <t xml:space="preserve"> 249</t>
    </r>
    <phoneticPr fontId="21" type="noConversion"/>
  </si>
  <si>
    <t>부동산 업종 불가</t>
    <phoneticPr fontId="21" type="noConversion"/>
  </si>
  <si>
    <t>경기_힐스테이트푸르지오수원</t>
    <phoneticPr fontId="21" type="noConversion"/>
  </si>
  <si>
    <r>
      <rPr>
        <sz val="9"/>
        <color theme="1"/>
        <rFont val="Malgun Gothic"/>
        <family val="2"/>
        <charset val="129"/>
      </rPr>
      <t>경기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수원시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팔달구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효원로</t>
    </r>
    <r>
      <rPr>
        <sz val="9"/>
        <color theme="1"/>
        <rFont val="Arial"/>
        <family val="2"/>
        <charset val="129"/>
      </rPr>
      <t>93</t>
    </r>
    <r>
      <rPr>
        <sz val="9"/>
        <color theme="1"/>
        <rFont val="Malgun Gothic"/>
        <family val="2"/>
        <charset val="129"/>
      </rPr>
      <t>번길</t>
    </r>
    <r>
      <rPr>
        <sz val="9"/>
        <color theme="1"/>
        <rFont val="Arial"/>
        <family val="2"/>
        <charset val="129"/>
      </rPr>
      <t xml:space="preserve"> 33</t>
    </r>
    <phoneticPr fontId="21" type="noConversion"/>
  </si>
  <si>
    <t>만첨 / 영업중단단지</t>
    <phoneticPr fontId="21" type="noConversion"/>
  </si>
  <si>
    <t>* 장기계약할인 : 3개월 8% /  6개월 10% / 12개월 15%</t>
    <phoneticPr fontId="21" type="noConversion"/>
  </si>
  <si>
    <t>* 다구좌 할인 : 10%</t>
    <phoneticPr fontId="21" type="noConversion"/>
  </si>
  <si>
    <t>경기_광명자이더샵포레나123단지</t>
    <phoneticPr fontId="21" type="noConversion"/>
  </si>
  <si>
    <t>경기 광명시 사성로75번길 1</t>
    <phoneticPr fontId="21" type="noConversion"/>
  </si>
  <si>
    <t>서울</t>
    <phoneticPr fontId="21" type="noConversion"/>
  </si>
  <si>
    <t>경기_안양역푸르지오더샵</t>
    <phoneticPr fontId="21" type="noConversion"/>
  </si>
  <si>
    <t>경기_평촌트리지아</t>
    <phoneticPr fontId="35" type="noConversion"/>
  </si>
  <si>
    <t>경기도 안양시 동안구 귀인로98번길 12</t>
    <phoneticPr fontId="35" type="noConversion"/>
  </si>
  <si>
    <t>서울_청량리한양수자인그라시엘</t>
    <phoneticPr fontId="35" type="noConversion"/>
  </si>
  <si>
    <t>서울특별시 동대문구 고산자로32길 78</t>
    <phoneticPr fontId="35" type="noConversion"/>
  </si>
  <si>
    <t>경기_광명센트럴아이파크</t>
    <phoneticPr fontId="35" type="noConversion"/>
  </si>
  <si>
    <t>경기 광명시 광이로 49</t>
    <phoneticPr fontId="35" type="noConversion"/>
  </si>
  <si>
    <t>경기_힐스테이트더운정1단지</t>
    <phoneticPr fontId="35" type="noConversion"/>
  </si>
  <si>
    <t>경기 파주시 와석순환로515번길 70</t>
    <phoneticPr fontId="35" type="noConversion"/>
  </si>
  <si>
    <t>서울_상도2차두산위브트레지움</t>
    <phoneticPr fontId="35" type="noConversion"/>
  </si>
  <si>
    <t>서울 동작구 상도로 30길 40</t>
    <phoneticPr fontId="35" type="noConversion"/>
  </si>
  <si>
    <t>경기</t>
    <phoneticPr fontId="35" type="noConversion"/>
  </si>
  <si>
    <t>경기_DMC두산위브더퍼스트</t>
    <phoneticPr fontId="35" type="noConversion"/>
  </si>
  <si>
    <t>경기 고양시 덕양구 향기5로 66</t>
    <phoneticPr fontId="35" type="noConversion"/>
  </si>
  <si>
    <t>서울</t>
    <phoneticPr fontId="35" type="noConversion"/>
  </si>
  <si>
    <t>인천 서구 금정로 12</t>
    <phoneticPr fontId="35" type="noConversion"/>
  </si>
  <si>
    <t>서울시 동작구 시흥대로 606</t>
    <phoneticPr fontId="35" type="noConversion"/>
  </si>
  <si>
    <t>경기도 고양시 일산동구 고풍로 55</t>
    <phoneticPr fontId="35" type="noConversion"/>
  </si>
  <si>
    <t>서울_동작협성휴포레시그니처</t>
    <phoneticPr fontId="35" type="noConversion"/>
  </si>
  <si>
    <t>경기_더샵일산퍼스트월드 3단지</t>
    <phoneticPr fontId="35" type="noConversion"/>
  </si>
  <si>
    <t>인천</t>
    <phoneticPr fontId="35" type="noConversion"/>
  </si>
  <si>
    <t>인천_신검단중앙역풍경채어바니티1차</t>
    <phoneticPr fontId="35" type="noConversion"/>
  </si>
  <si>
    <t>경기_e편한세상광교</t>
    <phoneticPr fontId="35" type="noConversion"/>
  </si>
  <si>
    <t>경기 수원시 영통구 센트럴타운로 76</t>
    <phoneticPr fontId="35" type="noConversion"/>
  </si>
  <si>
    <t>디에이치퍼스티어아이파크</t>
    <phoneticPr fontId="35" type="noConversion"/>
  </si>
  <si>
    <t>서울 강남구 개포로 310</t>
    <phoneticPr fontId="35" type="noConversion"/>
  </si>
  <si>
    <t>내부(개별):1,800,000
외부(개별):1,800,000
하프(내부+외부):1,800,000
풀(내부+외부):3,600,000</t>
    <phoneticPr fontId="21" type="noConversion"/>
  </si>
  <si>
    <r>
      <rPr>
        <b/>
        <sz val="10"/>
        <color rgb="FF000000"/>
        <rFont val="Calibri"/>
        <family val="2"/>
        <scheme val="minor"/>
      </rPr>
      <t>*26.10</t>
    </r>
    <r>
      <rPr>
        <b/>
        <sz val="10"/>
        <color rgb="FF000000"/>
        <rFont val="Malgun Gothic"/>
        <family val="2"/>
        <charset val="129"/>
      </rPr>
      <t>월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말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계약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종료예정</t>
    </r>
    <r>
      <rPr>
        <b/>
        <sz val="10"/>
        <color rgb="FF000000"/>
        <rFont val="Calibri"/>
        <family val="2"/>
        <scheme val="minor"/>
      </rPr>
      <t xml:space="preserve">
*1</t>
    </r>
    <r>
      <rPr>
        <b/>
        <sz val="10"/>
        <color rgb="FF000000"/>
        <rFont val="Malgun Gothic"/>
        <family val="2"/>
        <charset val="129"/>
      </rPr>
      <t>개월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단위로만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계약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필요</t>
    </r>
    <phoneticPr fontId="21" type="noConversion"/>
  </si>
  <si>
    <t>서울_디에이치포레센트</t>
    <phoneticPr fontId="35" type="noConversion"/>
  </si>
  <si>
    <t>서울시 강남구 개포로 110길38</t>
    <phoneticPr fontId="35" type="noConversion"/>
  </si>
  <si>
    <t>서울_상암월드컵파크2단지</t>
    <phoneticPr fontId="35" type="noConversion"/>
  </si>
  <si>
    <t>서울시 마포구 월드컵북로 47길 46</t>
    <phoneticPr fontId="35" type="noConversion"/>
  </si>
  <si>
    <t>26.06월 중순 설치예정</t>
    <phoneticPr fontId="21" type="noConversion"/>
  </si>
  <si>
    <t>6/8일 이전 설치완료예정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</si>
</sst>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yyyy\-mm\-dd"/>
    <numFmt numFmtId="177" formatCode="000\-0000\-0000"/>
    <numFmt numFmtId="178" formatCode="am/pm\ h:mm"/>
    <numFmt numFmtId="179" formatCode="yyyy\.\ m\.\ d"/>
    <numFmt numFmtId="180" formatCode="&quot;₩&quot;#,##0"/>
    <numFmt numFmtId="181" formatCode="yyyy&quot;-&quot;mm&quot;-&quot;dd"/>
    <numFmt numFmtId="182" formatCode="[$₩-412]#,##0"/>
    <numFmt numFmtId="183" formatCode="yyyy\-m"/>
    <numFmt numFmtId="184" formatCode="mm\-dd"/>
    <numFmt numFmtId="185" formatCode="m/d/yyyy\ h:mm:ss"/>
    <numFmt numFmtId="186" formatCode="_-* #,##0_-;\-* #,##0_-;_-* &quot;-&quot;_-;_-@_-"/>
    <numFmt numFmtId="187" formatCode="0_);[Red]\(0\)"/>
  </numFmts>
  <fonts count="42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color rgb="FF000000"/>
      <name val="&quot;맑은 고딕&quot;"/>
      <family val="3"/>
      <charset val="129"/>
    </font>
    <font>
      <sz val="10"/>
      <color rgb="FF000000"/>
      <name val="&quot;맑은 고딕&quot;"/>
      <charset val="129"/>
    </font>
    <font>
      <b/>
      <sz val="10"/>
      <color rgb="FF000000"/>
      <name val="Arial"/>
      <family val="2"/>
    </font>
    <font>
      <sz val="12"/>
      <color rgb="FF000000"/>
      <name val="&quot;맑은 고딕&quot;"/>
      <charset val="129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25"/>
      <color rgb="FF000000"/>
      <name val="&quot;맑은 고딕&quot;"/>
      <charset val="129"/>
    </font>
    <font>
      <b/>
      <sz val="10"/>
      <color rgb="FF000000"/>
      <name val="&quot;맑은 고딕&quot;"/>
      <charset val="129"/>
    </font>
    <font>
      <sz val="10"/>
      <color rgb="FF333333"/>
      <name val="Roboto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charset val="129"/>
      <scheme val="minor"/>
    </font>
    <font>
      <sz val="9"/>
      <color rgb="FF000000"/>
      <name val="Malgun Gothic"/>
      <family val="2"/>
      <charset val="129"/>
    </font>
    <font>
      <sz val="9"/>
      <color rgb="FF000000"/>
      <name val="Arial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Malgun Gothic"/>
      <family val="2"/>
      <charset val="129"/>
    </font>
    <font>
      <b/>
      <sz val="10"/>
      <color rgb="FFFF0000"/>
      <name val="Calibri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Calibri"/>
      <family val="3"/>
      <charset val="129"/>
      <scheme val="minor"/>
    </font>
    <font>
      <b/>
      <sz val="10"/>
      <color theme="1"/>
      <name val="Calibri"/>
      <family val="2"/>
      <charset val="129"/>
      <scheme val="minor"/>
    </font>
    <font>
      <sz val="8"/>
      <name val="맑은 고딕"/>
      <family val="2"/>
      <charset val="129"/>
    </font>
    <font>
      <sz val="9"/>
      <color theme="1"/>
      <name val="맑"/>
      <charset val="129"/>
    </font>
    <font>
      <sz val="9"/>
      <color theme="1"/>
      <name val="맑은 고딕"/>
      <family val="2"/>
      <charset val="129"/>
    </font>
    <font>
      <b/>
      <sz val="10"/>
      <color rgb="FF000000"/>
      <name val="Calibri"/>
      <family val="2"/>
      <scheme val="minor"/>
    </font>
    <font>
      <b/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2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EFEFEF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6" fontId="26" fillId="0" borderId="6" applyFont="0" applyFill="0" applyBorder="0" applyAlignment="0" applyProtection="0">
      <alignment vertical="center"/>
    </xf>
  </cellStyleXfs>
  <cellXfs count="18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3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5" fillId="2" borderId="0" xfId="0" applyFont="1" applyFill="1" applyAlignment="1">
      <alignment horizontal="left"/>
    </xf>
    <xf numFmtId="0" fontId="16" fillId="9" borderId="9" xfId="0" applyFont="1" applyFill="1" applyBorder="1" applyAlignment="1">
      <alignment horizontal="center" vertical="center"/>
    </xf>
    <xf numFmtId="181" fontId="16" fillId="9" borderId="9" xfId="0" applyNumberFormat="1" applyFont="1" applyFill="1" applyBorder="1" applyAlignment="1">
      <alignment horizontal="center" vertical="center"/>
    </xf>
    <xf numFmtId="182" fontId="16" fillId="9" borderId="9" xfId="0" applyNumberFormat="1" applyFont="1" applyFill="1" applyBorder="1" applyAlignment="1">
      <alignment horizontal="center" vertical="center"/>
    </xf>
    <xf numFmtId="177" fontId="16" fillId="9" borderId="9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0" fontId="16" fillId="9" borderId="11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1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1" fontId="9" fillId="0" borderId="10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181" fontId="10" fillId="2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179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82" fontId="10" fillId="0" borderId="10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80" fontId="18" fillId="0" borderId="14" xfId="0" applyNumberFormat="1" applyFont="1" applyBorder="1" applyAlignment="1">
      <alignment horizontal="center" vertical="center"/>
    </xf>
    <xf numFmtId="0" fontId="9" fillId="0" borderId="0" xfId="0" applyFont="1"/>
    <xf numFmtId="181" fontId="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6" fillId="9" borderId="2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/>
    <xf numFmtId="0" fontId="2" fillId="0" borderId="18" xfId="0" applyFont="1" applyBorder="1"/>
    <xf numFmtId="0" fontId="2" fillId="0" borderId="21" xfId="0" applyFont="1" applyBorder="1" applyAlignment="1">
      <alignment vertical="center"/>
    </xf>
    <xf numFmtId="0" fontId="16" fillId="9" borderId="22" xfId="0" applyFont="1" applyFill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183" fontId="2" fillId="0" borderId="13" xfId="0" applyNumberFormat="1" applyFont="1" applyBorder="1" applyAlignment="1">
      <alignment horizontal="center" vertical="center"/>
    </xf>
    <xf numFmtId="182" fontId="2" fillId="6" borderId="24" xfId="0" applyNumberFormat="1" applyFont="1" applyFill="1" applyBorder="1" applyAlignment="1">
      <alignment horizontal="center" vertical="center"/>
    </xf>
    <xf numFmtId="182" fontId="2" fillId="3" borderId="24" xfId="0" applyNumberFormat="1" applyFont="1" applyFill="1" applyBorder="1" applyAlignment="1">
      <alignment horizontal="center" vertical="center"/>
    </xf>
    <xf numFmtId="182" fontId="2" fillId="0" borderId="14" xfId="0" applyNumberFormat="1" applyFont="1" applyBorder="1" applyAlignment="1">
      <alignment horizontal="center" vertical="center"/>
    </xf>
    <xf numFmtId="18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82" fontId="2" fillId="0" borderId="0" xfId="0" applyNumberFormat="1" applyFont="1" applyAlignment="1">
      <alignment vertical="center"/>
    </xf>
    <xf numFmtId="0" fontId="20" fillId="9" borderId="6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82" fontId="19" fillId="12" borderId="10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181" fontId="16" fillId="9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7" fontId="16" fillId="9" borderId="10" xfId="0" applyNumberFormat="1" applyFont="1" applyFill="1" applyBorder="1" applyAlignment="1">
      <alignment horizontal="center" vertical="center"/>
    </xf>
    <xf numFmtId="185" fontId="2" fillId="0" borderId="21" xfId="0" applyNumberFormat="1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185" fontId="2" fillId="0" borderId="14" xfId="0" applyNumberFormat="1" applyFont="1" applyBorder="1" applyAlignment="1">
      <alignment vertical="center"/>
    </xf>
    <xf numFmtId="185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/>
    </xf>
    <xf numFmtId="177" fontId="2" fillId="0" borderId="10" xfId="0" applyNumberFormat="1" applyFont="1" applyBorder="1" applyAlignment="1">
      <alignment vertical="center"/>
    </xf>
    <xf numFmtId="177" fontId="2" fillId="13" borderId="10" xfId="0" applyNumberFormat="1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3" fontId="10" fillId="2" borderId="26" xfId="0" applyNumberFormat="1" applyFont="1" applyFill="1" applyBorder="1" applyAlignment="1">
      <alignment horizontal="center" vertical="center"/>
    </xf>
    <xf numFmtId="3" fontId="9" fillId="0" borderId="2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4" fillId="4" borderId="2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3" fontId="9" fillId="14" borderId="26" xfId="0" applyNumberFormat="1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/>
    </xf>
    <xf numFmtId="0" fontId="22" fillId="15" borderId="25" xfId="0" applyFont="1" applyFill="1" applyBorder="1" applyAlignment="1">
      <alignment horizontal="center"/>
    </xf>
    <xf numFmtId="0" fontId="1" fillId="17" borderId="25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3" fontId="9" fillId="16" borderId="26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3" fontId="10" fillId="18" borderId="26" xfId="0" applyNumberFormat="1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vertical="center"/>
    </xf>
    <xf numFmtId="3" fontId="10" fillId="19" borderId="26" xfId="0" applyNumberFormat="1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center"/>
    </xf>
    <xf numFmtId="0" fontId="10" fillId="19" borderId="26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3" fontId="9" fillId="19" borderId="26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3" fontId="9" fillId="18" borderId="26" xfId="0" applyNumberFormat="1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18" borderId="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3" fontId="29" fillId="20" borderId="25" xfId="0" applyNumberFormat="1" applyFont="1" applyFill="1" applyBorder="1" applyAlignment="1">
      <alignment horizontal="center" vertical="center"/>
    </xf>
    <xf numFmtId="0" fontId="0" fillId="19" borderId="0" xfId="0" applyFill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6" fillId="18" borderId="1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shrinkToFit="1"/>
    </xf>
    <xf numFmtId="0" fontId="22" fillId="21" borderId="25" xfId="0" applyFont="1" applyFill="1" applyBorder="1" applyAlignment="1">
      <alignment horizontal="center"/>
    </xf>
    <xf numFmtId="0" fontId="36" fillId="14" borderId="1" xfId="0" applyFont="1" applyFill="1" applyBorder="1" applyAlignment="1">
      <alignment horizontal="center" vertical="center"/>
    </xf>
    <xf numFmtId="187" fontId="36" fillId="0" borderId="25" xfId="0" applyNumberFormat="1" applyFont="1" applyBorder="1" applyAlignment="1">
      <alignment horizontal="center" vertical="center"/>
    </xf>
    <xf numFmtId="0" fontId="37" fillId="19" borderId="28" xfId="0" applyFont="1" applyFill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 shrinkToFit="1"/>
    </xf>
    <xf numFmtId="0" fontId="37" fillId="19" borderId="25" xfId="0" applyFont="1" applyFill="1" applyBorder="1" applyAlignment="1">
      <alignment horizontal="center" vertical="center"/>
    </xf>
    <xf numFmtId="3" fontId="9" fillId="17" borderId="26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3" fontId="10" fillId="17" borderId="26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3" fontId="10" fillId="16" borderId="26" xfId="0" applyNumberFormat="1" applyFont="1" applyFill="1" applyBorder="1" applyAlignment="1">
      <alignment horizontal="center" vertical="center"/>
    </xf>
    <xf numFmtId="3" fontId="29" fillId="20" borderId="25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22" fillId="23" borderId="25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16" fillId="10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16" fillId="11" borderId="7" xfId="0" applyFont="1" applyFill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80" fontId="9" fillId="0" borderId="16" xfId="0" applyNumberFormat="1" applyFont="1" applyBorder="1" applyAlignment="1">
      <alignment horizontal="center" vertical="center"/>
    </xf>
    <xf numFmtId="184" fontId="2" fillId="0" borderId="21" xfId="0" applyNumberFormat="1" applyFont="1" applyBorder="1" applyAlignment="1">
      <alignment horizontal="center" vertical="center"/>
    </xf>
    <xf numFmtId="0" fontId="4" fillId="0" borderId="21" xfId="0" applyFont="1" applyBorder="1"/>
    <xf numFmtId="0" fontId="4" fillId="0" borderId="14" xfId="0" applyFont="1" applyBorder="1"/>
    <xf numFmtId="182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0" fillId="19" borderId="28" xfId="0" applyFont="1" applyFill="1" applyBorder="1" applyAlignment="1">
      <alignment horizontal="center" vertical="center"/>
    </xf>
    <xf numFmtId="0" fontId="40" fillId="22" borderId="25" xfId="0" applyFont="1" applyFill="1" applyBorder="1" applyAlignment="1">
      <alignment horizontal="center" vertical="center"/>
    </xf>
    <xf numFmtId="0" fontId="40" fillId="22" borderId="25" xfId="0" applyFont="1" applyFill="1" applyBorder="1" applyAlignment="1">
      <alignment horizontal="center" vertical="center" wrapText="1"/>
    </xf>
    <xf numFmtId="0" fontId="41" fillId="22" borderId="25" xfId="0" applyFont="1" applyFill="1" applyBorder="1" applyAlignment="1">
      <alignment horizontal="center" vertical="center" wrapText="1"/>
    </xf>
    <xf numFmtId="0" fontId="22" fillId="23" borderId="25" xfId="0" applyFont="1" applyFill="1" applyBorder="1" applyAlignment="1">
      <alignment horizontal="center" vertical="center"/>
    </xf>
  </cellXfs>
  <cellStyles count="2">
    <cellStyle name="쉼표 [0] 3 3 2" xfId="1" xr:uid="{E9DE4108-A4FB-D247-97E0-F86BB765E456}"/>
    <cellStyle name="표준" xfId="0" builtinId="0"/>
  </cellStyles>
  <dxfs count="1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3"/>
  <sheetViews>
    <sheetView tabSelected="1" workbookViewId="0">
      <pane ySplit="4" topLeftCell="A96" activePane="bottomLeft" state="frozen"/>
      <selection pane="bottomLeft" activeCell="E125" sqref="E125"/>
    </sheetView>
  </sheetViews>
  <sheetFormatPr baseColWidth="10" defaultColWidth="14.3984375" defaultRowHeight="15.75" customHeight="1"/>
  <cols>
    <col min="1" max="1" width="4" customWidth="1"/>
    <col min="2" max="2" width="6.19921875" customWidth="1"/>
    <col min="3" max="3" width="7.19921875" customWidth="1"/>
    <col min="4" max="5" width="42.59765625" customWidth="1"/>
    <col min="6" max="6" width="7.796875" customWidth="1"/>
    <col min="7" max="7" width="8.3984375" customWidth="1"/>
    <col min="8" max="8" width="29" customWidth="1"/>
    <col min="9" max="9" width="28" style="135" customWidth="1"/>
    <col min="10" max="10" width="36" customWidth="1"/>
    <col min="11" max="11" width="40.59765625" customWidth="1"/>
  </cols>
  <sheetData>
    <row r="1" spans="1:13" ht="36">
      <c r="A1" s="13"/>
      <c r="B1" s="165" t="s">
        <v>244</v>
      </c>
      <c r="C1" s="166"/>
      <c r="D1" s="166"/>
      <c r="E1" s="166"/>
      <c r="F1" s="166"/>
      <c r="G1" s="166"/>
      <c r="H1" s="13"/>
      <c r="I1" s="1"/>
    </row>
    <row r="2" spans="1:13" ht="15.75" customHeight="1">
      <c r="A2" s="8"/>
      <c r="B2" s="8"/>
      <c r="C2" s="8"/>
      <c r="D2" s="14"/>
      <c r="E2" s="14"/>
      <c r="F2" s="12"/>
      <c r="G2" s="8"/>
      <c r="H2" s="14"/>
      <c r="I2" s="1"/>
    </row>
    <row r="3" spans="1:13" ht="15">
      <c r="A3" s="15"/>
      <c r="B3" s="16" t="s">
        <v>21</v>
      </c>
      <c r="C3" s="17" t="s">
        <v>0</v>
      </c>
      <c r="D3" s="110" t="s">
        <v>130</v>
      </c>
      <c r="E3" s="111" t="s">
        <v>1</v>
      </c>
      <c r="F3" s="111" t="s">
        <v>45</v>
      </c>
      <c r="G3" s="112" t="s">
        <v>131</v>
      </c>
      <c r="H3" s="112"/>
      <c r="I3" s="18"/>
      <c r="J3" s="18"/>
    </row>
    <row r="4" spans="1:13" ht="15">
      <c r="A4" s="15"/>
      <c r="B4" s="19"/>
      <c r="C4" s="20" t="s">
        <v>21</v>
      </c>
      <c r="D4" s="21"/>
      <c r="E4" s="21"/>
      <c r="F4" s="21"/>
      <c r="G4" s="20"/>
      <c r="H4" s="20" t="s">
        <v>245</v>
      </c>
      <c r="I4" s="18" t="s">
        <v>2</v>
      </c>
      <c r="J4" s="18" t="s">
        <v>246</v>
      </c>
    </row>
    <row r="5" spans="1:13" ht="15">
      <c r="A5" s="4"/>
      <c r="B5" s="11">
        <v>1</v>
      </c>
      <c r="C5" s="11" t="s">
        <v>8</v>
      </c>
      <c r="D5" s="10" t="s">
        <v>132</v>
      </c>
      <c r="E5" s="11" t="s">
        <v>133</v>
      </c>
      <c r="F5" s="105">
        <v>240</v>
      </c>
      <c r="G5" s="109">
        <v>8</v>
      </c>
      <c r="H5" s="140">
        <v>140000</v>
      </c>
      <c r="I5" s="1"/>
      <c r="K5" s="22" t="s">
        <v>136</v>
      </c>
    </row>
    <row r="6" spans="1:13" ht="15">
      <c r="A6" s="23"/>
      <c r="B6" s="11">
        <v>2</v>
      </c>
      <c r="C6" s="11" t="s">
        <v>7</v>
      </c>
      <c r="D6" s="10" t="s">
        <v>134</v>
      </c>
      <c r="E6" s="11" t="s">
        <v>135</v>
      </c>
      <c r="F6" s="106">
        <v>1096</v>
      </c>
      <c r="G6" s="109">
        <v>42</v>
      </c>
      <c r="H6" s="140">
        <v>210000</v>
      </c>
      <c r="I6" s="1"/>
      <c r="K6" s="22" t="s">
        <v>247</v>
      </c>
    </row>
    <row r="7" spans="1:13" ht="15">
      <c r="A7" s="23"/>
      <c r="B7" s="11">
        <v>3</v>
      </c>
      <c r="C7" s="11" t="s">
        <v>137</v>
      </c>
      <c r="D7" s="10" t="s">
        <v>138</v>
      </c>
      <c r="E7" s="11" t="s">
        <v>139</v>
      </c>
      <c r="F7" s="105">
        <v>204</v>
      </c>
      <c r="G7" s="109">
        <v>7</v>
      </c>
      <c r="H7" s="140">
        <v>140000</v>
      </c>
      <c r="I7" s="1"/>
      <c r="K7" s="22" t="s">
        <v>248</v>
      </c>
    </row>
    <row r="8" spans="1:13" ht="15">
      <c r="A8" s="23"/>
      <c r="B8" s="122">
        <v>4</v>
      </c>
      <c r="C8" s="122" t="s">
        <v>6</v>
      </c>
      <c r="D8" s="123" t="s">
        <v>92</v>
      </c>
      <c r="E8" s="122" t="s">
        <v>140</v>
      </c>
      <c r="F8" s="128">
        <v>602</v>
      </c>
      <c r="G8" s="125">
        <v>29</v>
      </c>
      <c r="H8" s="140">
        <v>140000</v>
      </c>
      <c r="I8" s="1"/>
      <c r="K8" s="22" t="s">
        <v>249</v>
      </c>
    </row>
    <row r="9" spans="1:13" ht="15">
      <c r="A9" s="23"/>
      <c r="B9" s="122">
        <v>5</v>
      </c>
      <c r="C9" s="122" t="s">
        <v>6</v>
      </c>
      <c r="D9" s="123" t="s">
        <v>99</v>
      </c>
      <c r="E9" s="122" t="s">
        <v>141</v>
      </c>
      <c r="F9" s="124">
        <v>1109</v>
      </c>
      <c r="G9" s="125">
        <v>19</v>
      </c>
      <c r="H9" s="140">
        <v>210000</v>
      </c>
      <c r="I9" s="1"/>
      <c r="K9" s="22" t="s">
        <v>722</v>
      </c>
    </row>
    <row r="10" spans="1:13" ht="15">
      <c r="A10" s="23"/>
      <c r="B10" s="11">
        <v>6</v>
      </c>
      <c r="C10" s="11" t="s">
        <v>3</v>
      </c>
      <c r="D10" s="10" t="s">
        <v>142</v>
      </c>
      <c r="E10" s="11" t="s">
        <v>143</v>
      </c>
      <c r="F10" s="105">
        <v>234</v>
      </c>
      <c r="G10" s="109">
        <v>8</v>
      </c>
      <c r="H10" s="140">
        <v>120000</v>
      </c>
      <c r="I10" s="1"/>
      <c r="K10" s="22" t="s">
        <v>723</v>
      </c>
    </row>
    <row r="11" spans="1:13" ht="15">
      <c r="A11" s="23"/>
      <c r="B11" s="11">
        <v>7</v>
      </c>
      <c r="C11" s="122" t="s">
        <v>6</v>
      </c>
      <c r="D11" s="123" t="s">
        <v>73</v>
      </c>
      <c r="E11" s="122" t="s">
        <v>144</v>
      </c>
      <c r="F11" s="124">
        <v>2784</v>
      </c>
      <c r="G11" s="125">
        <v>42</v>
      </c>
      <c r="H11" s="140">
        <v>300000</v>
      </c>
      <c r="I11" s="1"/>
    </row>
    <row r="12" spans="1:13" ht="15">
      <c r="A12" s="23"/>
      <c r="B12" s="11">
        <v>8</v>
      </c>
      <c r="C12" s="11" t="s">
        <v>8</v>
      </c>
      <c r="D12" s="10" t="s">
        <v>125</v>
      </c>
      <c r="E12" s="11" t="s">
        <v>145</v>
      </c>
      <c r="F12" s="105">
        <v>392</v>
      </c>
      <c r="G12" s="109">
        <v>23</v>
      </c>
      <c r="H12" s="140">
        <v>140000</v>
      </c>
      <c r="I12" s="1"/>
      <c r="K12" s="24"/>
      <c r="L12" s="2" t="s">
        <v>250</v>
      </c>
    </row>
    <row r="13" spans="1:13" ht="15">
      <c r="A13" s="23"/>
      <c r="B13" s="122">
        <v>9</v>
      </c>
      <c r="C13" s="122" t="s">
        <v>6</v>
      </c>
      <c r="D13" s="123" t="s">
        <v>54</v>
      </c>
      <c r="E13" s="122" t="s">
        <v>146</v>
      </c>
      <c r="F13" s="128">
        <v>830</v>
      </c>
      <c r="G13" s="125">
        <v>10</v>
      </c>
      <c r="H13" s="140">
        <v>140000</v>
      </c>
      <c r="I13" s="1"/>
      <c r="K13" s="25"/>
      <c r="L13" s="2" t="s">
        <v>251</v>
      </c>
    </row>
    <row r="14" spans="1:13" ht="15">
      <c r="A14" s="23"/>
      <c r="B14" s="122">
        <v>10</v>
      </c>
      <c r="C14" s="11" t="s">
        <v>7</v>
      </c>
      <c r="D14" s="10" t="s">
        <v>86</v>
      </c>
      <c r="E14" s="11" t="s">
        <v>147</v>
      </c>
      <c r="F14" s="105">
        <v>336</v>
      </c>
      <c r="G14" s="109">
        <v>25</v>
      </c>
      <c r="H14" s="140">
        <v>140000</v>
      </c>
      <c r="I14" s="1"/>
      <c r="M14" s="22"/>
    </row>
    <row r="15" spans="1:13" ht="15">
      <c r="A15" s="23"/>
      <c r="B15" s="11">
        <v>11</v>
      </c>
      <c r="C15" s="11" t="s">
        <v>9</v>
      </c>
      <c r="D15" s="10" t="s">
        <v>91</v>
      </c>
      <c r="E15" s="11" t="s">
        <v>148</v>
      </c>
      <c r="F15" s="105">
        <v>907</v>
      </c>
      <c r="G15" s="109">
        <v>40</v>
      </c>
      <c r="H15" s="140">
        <v>210000</v>
      </c>
      <c r="I15" s="1"/>
      <c r="K15" s="145"/>
      <c r="M15" s="22"/>
    </row>
    <row r="16" spans="1:13" ht="15">
      <c r="A16" s="23"/>
      <c r="B16" s="11">
        <v>12</v>
      </c>
      <c r="C16" s="122" t="s">
        <v>6</v>
      </c>
      <c r="D16" s="123" t="s">
        <v>48</v>
      </c>
      <c r="E16" s="122" t="s">
        <v>149</v>
      </c>
      <c r="F16" s="124">
        <v>1669</v>
      </c>
      <c r="G16" s="125">
        <v>83</v>
      </c>
      <c r="H16" s="140">
        <v>300000</v>
      </c>
      <c r="I16" s="1"/>
      <c r="K16" s="145"/>
      <c r="M16" s="22"/>
    </row>
    <row r="17" spans="1:14" ht="15">
      <c r="A17" s="23"/>
      <c r="B17" s="11">
        <v>13</v>
      </c>
      <c r="C17" s="122" t="s">
        <v>6</v>
      </c>
      <c r="D17" s="123" t="s">
        <v>126</v>
      </c>
      <c r="E17" s="122" t="s">
        <v>150</v>
      </c>
      <c r="F17" s="128">
        <v>399</v>
      </c>
      <c r="G17" s="125">
        <v>13</v>
      </c>
      <c r="H17" s="140">
        <v>140000</v>
      </c>
      <c r="I17" s="1"/>
      <c r="M17" s="22"/>
    </row>
    <row r="18" spans="1:14" ht="15">
      <c r="A18" s="23"/>
      <c r="B18" s="122">
        <v>14</v>
      </c>
      <c r="C18" s="122" t="s">
        <v>6</v>
      </c>
      <c r="D18" s="123" t="s">
        <v>68</v>
      </c>
      <c r="E18" s="122" t="s">
        <v>151</v>
      </c>
      <c r="F18" s="128">
        <v>373</v>
      </c>
      <c r="G18" s="125">
        <v>17</v>
      </c>
      <c r="H18" s="140">
        <v>140000</v>
      </c>
      <c r="I18" s="1"/>
    </row>
    <row r="19" spans="1:14" ht="15">
      <c r="A19" s="23"/>
      <c r="B19" s="122">
        <v>15</v>
      </c>
      <c r="C19" s="122" t="s">
        <v>6</v>
      </c>
      <c r="D19" s="123" t="s">
        <v>152</v>
      </c>
      <c r="E19" s="122" t="s">
        <v>153</v>
      </c>
      <c r="F19" s="128">
        <v>412</v>
      </c>
      <c r="G19" s="125">
        <v>4</v>
      </c>
      <c r="H19" s="140">
        <v>140000</v>
      </c>
      <c r="I19" s="1"/>
    </row>
    <row r="20" spans="1:14" ht="15">
      <c r="A20" s="23"/>
      <c r="B20" s="11">
        <v>16</v>
      </c>
      <c r="C20" s="122" t="s">
        <v>6</v>
      </c>
      <c r="D20" s="123" t="s">
        <v>49</v>
      </c>
      <c r="E20" s="122" t="s">
        <v>154</v>
      </c>
      <c r="F20" s="128">
        <v>936</v>
      </c>
      <c r="G20" s="125">
        <v>53</v>
      </c>
      <c r="H20" s="140">
        <v>300000</v>
      </c>
      <c r="I20" s="1"/>
      <c r="N20" s="2"/>
    </row>
    <row r="21" spans="1:14" ht="15">
      <c r="A21" s="23"/>
      <c r="B21" s="11">
        <v>17</v>
      </c>
      <c r="C21" s="122" t="s">
        <v>8</v>
      </c>
      <c r="D21" s="123" t="s">
        <v>155</v>
      </c>
      <c r="E21" s="122" t="s">
        <v>156</v>
      </c>
      <c r="F21" s="124">
        <v>1519</v>
      </c>
      <c r="G21" s="125">
        <v>30</v>
      </c>
      <c r="H21" s="140">
        <v>300000</v>
      </c>
      <c r="I21" s="1"/>
      <c r="N21" s="2"/>
    </row>
    <row r="22" spans="1:14" ht="15">
      <c r="A22" s="23"/>
      <c r="B22" s="11">
        <v>18</v>
      </c>
      <c r="C22" s="122" t="s">
        <v>8</v>
      </c>
      <c r="D22" s="123" t="s">
        <v>157</v>
      </c>
      <c r="E22" s="122" t="s">
        <v>158</v>
      </c>
      <c r="F22" s="128">
        <v>258</v>
      </c>
      <c r="G22" s="125">
        <v>10</v>
      </c>
      <c r="H22" s="140">
        <v>140000</v>
      </c>
      <c r="I22" s="1"/>
    </row>
    <row r="23" spans="1:14" ht="15">
      <c r="A23" s="23"/>
      <c r="B23" s="122">
        <v>19</v>
      </c>
      <c r="C23" s="122" t="s">
        <v>7</v>
      </c>
      <c r="D23" s="123" t="s">
        <v>55</v>
      </c>
      <c r="E23" s="122" t="s">
        <v>159</v>
      </c>
      <c r="F23" s="124">
        <v>2185</v>
      </c>
      <c r="G23" s="125">
        <v>102</v>
      </c>
      <c r="H23" s="140">
        <v>300000</v>
      </c>
      <c r="I23" s="1"/>
    </row>
    <row r="24" spans="1:14" ht="15">
      <c r="A24" s="23"/>
      <c r="B24" s="122">
        <v>20</v>
      </c>
      <c r="C24" s="122" t="s">
        <v>160</v>
      </c>
      <c r="D24" s="123" t="s">
        <v>52</v>
      </c>
      <c r="E24" s="122" t="s">
        <v>161</v>
      </c>
      <c r="F24" s="128">
        <v>499</v>
      </c>
      <c r="G24" s="125">
        <v>23</v>
      </c>
      <c r="H24" s="140">
        <v>140000</v>
      </c>
      <c r="I24" s="1"/>
    </row>
    <row r="25" spans="1:14" ht="15">
      <c r="A25" s="23"/>
      <c r="B25" s="11">
        <v>21</v>
      </c>
      <c r="C25" s="122" t="s">
        <v>3</v>
      </c>
      <c r="D25" s="123" t="s">
        <v>57</v>
      </c>
      <c r="E25" s="122" t="s">
        <v>162</v>
      </c>
      <c r="F25" s="128">
        <v>315</v>
      </c>
      <c r="G25" s="125">
        <v>10</v>
      </c>
      <c r="H25" s="140">
        <v>210000</v>
      </c>
      <c r="I25" s="1"/>
    </row>
    <row r="26" spans="1:14" ht="15">
      <c r="A26" s="23"/>
      <c r="B26" s="11">
        <v>22</v>
      </c>
      <c r="C26" s="11" t="s">
        <v>8</v>
      </c>
      <c r="D26" s="10" t="s">
        <v>47</v>
      </c>
      <c r="E26" s="11" t="s">
        <v>163</v>
      </c>
      <c r="F26" s="106">
        <v>1272</v>
      </c>
      <c r="G26" s="109">
        <v>41</v>
      </c>
      <c r="H26" s="140">
        <v>210000</v>
      </c>
      <c r="I26" s="1"/>
    </row>
    <row r="27" spans="1:14" ht="15">
      <c r="A27" s="23"/>
      <c r="B27" s="11">
        <v>23</v>
      </c>
      <c r="C27" s="11" t="s">
        <v>7</v>
      </c>
      <c r="D27" s="10" t="s">
        <v>112</v>
      </c>
      <c r="E27" s="11" t="s">
        <v>164</v>
      </c>
      <c r="F27" s="106">
        <v>1295</v>
      </c>
      <c r="G27" s="109">
        <v>46</v>
      </c>
      <c r="H27" s="140">
        <v>210000</v>
      </c>
      <c r="I27" s="1"/>
    </row>
    <row r="28" spans="1:14" ht="15">
      <c r="A28" s="23"/>
      <c r="B28" s="122">
        <v>24</v>
      </c>
      <c r="C28" s="11" t="s">
        <v>7</v>
      </c>
      <c r="D28" s="10" t="s">
        <v>111</v>
      </c>
      <c r="E28" s="11" t="s">
        <v>165</v>
      </c>
      <c r="F28" s="105">
        <v>778</v>
      </c>
      <c r="G28" s="109">
        <v>28</v>
      </c>
      <c r="H28" s="140">
        <v>140000</v>
      </c>
      <c r="I28" s="1"/>
    </row>
    <row r="29" spans="1:14" ht="15">
      <c r="A29" s="23"/>
      <c r="B29" s="122">
        <v>25</v>
      </c>
      <c r="C29" s="11" t="s">
        <v>8</v>
      </c>
      <c r="D29" s="10" t="s">
        <v>46</v>
      </c>
      <c r="E29" s="11" t="s">
        <v>166</v>
      </c>
      <c r="F29" s="106">
        <v>1288</v>
      </c>
      <c r="G29" s="109">
        <v>39</v>
      </c>
      <c r="H29" s="140">
        <v>210000</v>
      </c>
      <c r="I29" s="1"/>
    </row>
    <row r="30" spans="1:14" ht="15">
      <c r="A30" s="23"/>
      <c r="B30" s="11">
        <v>26</v>
      </c>
      <c r="C30" s="122" t="s">
        <v>6</v>
      </c>
      <c r="D30" s="130" t="s">
        <v>50</v>
      </c>
      <c r="E30" s="122" t="s">
        <v>167</v>
      </c>
      <c r="F30" s="124">
        <v>1230</v>
      </c>
      <c r="G30" s="125">
        <v>26</v>
      </c>
      <c r="H30" s="140">
        <v>210000</v>
      </c>
      <c r="I30" s="1"/>
    </row>
    <row r="31" spans="1:14" ht="15">
      <c r="A31" s="23"/>
      <c r="B31" s="11">
        <v>27</v>
      </c>
      <c r="C31" s="11" t="s">
        <v>8</v>
      </c>
      <c r="D31" s="9" t="s">
        <v>51</v>
      </c>
      <c r="E31" s="11" t="s">
        <v>168</v>
      </c>
      <c r="F31" s="105">
        <v>637</v>
      </c>
      <c r="G31" s="109">
        <v>24</v>
      </c>
      <c r="H31" s="140">
        <v>210000</v>
      </c>
      <c r="I31" s="1"/>
    </row>
    <row r="32" spans="1:14" ht="15">
      <c r="A32" s="23"/>
      <c r="B32" s="11">
        <v>28</v>
      </c>
      <c r="C32" s="11" t="s">
        <v>8</v>
      </c>
      <c r="D32" s="9" t="s">
        <v>56</v>
      </c>
      <c r="E32" s="11" t="s">
        <v>169</v>
      </c>
      <c r="F32" s="105">
        <v>720</v>
      </c>
      <c r="G32" s="109">
        <v>30</v>
      </c>
      <c r="H32" s="140">
        <v>140000</v>
      </c>
      <c r="I32" s="1"/>
    </row>
    <row r="33" spans="1:9" ht="15">
      <c r="A33" s="23"/>
      <c r="B33" s="122">
        <v>29</v>
      </c>
      <c r="C33" s="11" t="s">
        <v>8</v>
      </c>
      <c r="D33" s="9" t="s">
        <v>61</v>
      </c>
      <c r="E33" s="11" t="s">
        <v>170</v>
      </c>
      <c r="F33" s="105">
        <v>966</v>
      </c>
      <c r="G33" s="109">
        <v>27</v>
      </c>
      <c r="H33" s="140">
        <v>210000</v>
      </c>
      <c r="I33" s="1"/>
    </row>
    <row r="34" spans="1:9" ht="15">
      <c r="A34" s="23"/>
      <c r="B34" s="122">
        <v>30</v>
      </c>
      <c r="C34" s="11" t="s">
        <v>7</v>
      </c>
      <c r="D34" s="10" t="s">
        <v>171</v>
      </c>
      <c r="E34" s="11" t="s">
        <v>172</v>
      </c>
      <c r="F34" s="105">
        <v>305</v>
      </c>
      <c r="G34" s="109">
        <v>11</v>
      </c>
      <c r="H34" s="140">
        <v>140000</v>
      </c>
      <c r="I34" s="1"/>
    </row>
    <row r="35" spans="1:9" ht="15">
      <c r="A35" s="23"/>
      <c r="B35" s="11">
        <v>31</v>
      </c>
      <c r="C35" s="11" t="s">
        <v>116</v>
      </c>
      <c r="D35" s="10" t="s">
        <v>63</v>
      </c>
      <c r="E35" s="11" t="s">
        <v>173</v>
      </c>
      <c r="F35" s="106">
        <v>1034</v>
      </c>
      <c r="G35" s="109">
        <v>28</v>
      </c>
      <c r="H35" s="140">
        <v>210000</v>
      </c>
      <c r="I35" s="1"/>
    </row>
    <row r="36" spans="1:9" ht="15">
      <c r="A36" s="23"/>
      <c r="B36" s="11">
        <v>32</v>
      </c>
      <c r="C36" s="11" t="s">
        <v>8</v>
      </c>
      <c r="D36" s="10" t="s">
        <v>59</v>
      </c>
      <c r="E36" s="11" t="s">
        <v>174</v>
      </c>
      <c r="F36" s="106">
        <v>1387</v>
      </c>
      <c r="G36" s="109">
        <v>27</v>
      </c>
      <c r="H36" s="140">
        <v>180000</v>
      </c>
      <c r="I36" s="1"/>
    </row>
    <row r="37" spans="1:9" ht="15">
      <c r="A37" s="23"/>
      <c r="B37" s="11">
        <v>33</v>
      </c>
      <c r="C37" s="122" t="s">
        <v>6</v>
      </c>
      <c r="D37" s="123" t="s">
        <v>53</v>
      </c>
      <c r="E37" s="122" t="s">
        <v>175</v>
      </c>
      <c r="F37" s="124">
        <v>578</v>
      </c>
      <c r="G37" s="125">
        <v>13</v>
      </c>
      <c r="H37" s="140">
        <v>140000</v>
      </c>
      <c r="I37" s="1"/>
    </row>
    <row r="38" spans="1:9" ht="15">
      <c r="A38" s="23"/>
      <c r="B38" s="122">
        <v>34</v>
      </c>
      <c r="C38" s="11" t="s">
        <v>3</v>
      </c>
      <c r="D38" s="10" t="s">
        <v>60</v>
      </c>
      <c r="E38" s="11" t="s">
        <v>176</v>
      </c>
      <c r="F38" s="105">
        <v>809</v>
      </c>
      <c r="G38" s="109">
        <v>40</v>
      </c>
      <c r="H38" s="140">
        <v>180000</v>
      </c>
      <c r="I38" s="1"/>
    </row>
    <row r="39" spans="1:9" ht="15">
      <c r="A39" s="23"/>
      <c r="B39" s="122">
        <v>35</v>
      </c>
      <c r="C39" s="11" t="s">
        <v>160</v>
      </c>
      <c r="D39" s="9" t="s">
        <v>103</v>
      </c>
      <c r="E39" s="11" t="s">
        <v>177</v>
      </c>
      <c r="F39" s="105">
        <v>700</v>
      </c>
      <c r="G39" s="109">
        <v>29</v>
      </c>
      <c r="H39" s="140">
        <v>140000</v>
      </c>
      <c r="I39" s="1"/>
    </row>
    <row r="40" spans="1:9" ht="15">
      <c r="A40" s="23"/>
      <c r="B40" s="11">
        <v>36</v>
      </c>
      <c r="C40" s="122" t="s">
        <v>3</v>
      </c>
      <c r="D40" s="123" t="s">
        <v>178</v>
      </c>
      <c r="E40" s="122" t="s">
        <v>179</v>
      </c>
      <c r="F40" s="128">
        <v>161</v>
      </c>
      <c r="G40" s="125">
        <v>4</v>
      </c>
      <c r="H40" s="140">
        <v>140000</v>
      </c>
      <c r="I40" s="1"/>
    </row>
    <row r="41" spans="1:9" ht="15">
      <c r="A41" s="23"/>
      <c r="B41" s="11">
        <v>37</v>
      </c>
      <c r="C41" s="122" t="s">
        <v>8</v>
      </c>
      <c r="D41" s="123" t="s">
        <v>79</v>
      </c>
      <c r="E41" s="122" t="s">
        <v>180</v>
      </c>
      <c r="F41" s="124">
        <v>1270</v>
      </c>
      <c r="G41" s="125">
        <v>26</v>
      </c>
      <c r="H41" s="140">
        <v>180000</v>
      </c>
      <c r="I41" s="1"/>
    </row>
    <row r="42" spans="1:9" ht="15">
      <c r="A42" s="23"/>
      <c r="B42" s="11">
        <v>38</v>
      </c>
      <c r="C42" s="122" t="s">
        <v>8</v>
      </c>
      <c r="D42" s="123" t="s">
        <v>58</v>
      </c>
      <c r="E42" s="122" t="s">
        <v>181</v>
      </c>
      <c r="F42" s="124">
        <v>1852</v>
      </c>
      <c r="G42" s="125">
        <v>37</v>
      </c>
      <c r="H42" s="140">
        <v>180000</v>
      </c>
      <c r="I42" s="1"/>
    </row>
    <row r="43" spans="1:9" ht="15">
      <c r="A43" s="23"/>
      <c r="B43" s="122">
        <v>39</v>
      </c>
      <c r="C43" s="122" t="s">
        <v>7</v>
      </c>
      <c r="D43" s="123" t="s">
        <v>78</v>
      </c>
      <c r="E43" s="122" t="s">
        <v>182</v>
      </c>
      <c r="F43" s="124">
        <v>703</v>
      </c>
      <c r="G43" s="125">
        <v>19</v>
      </c>
      <c r="H43" s="140">
        <v>140000</v>
      </c>
      <c r="I43" s="1"/>
    </row>
    <row r="44" spans="1:9" ht="15">
      <c r="A44" s="23"/>
      <c r="B44" s="122">
        <v>40</v>
      </c>
      <c r="C44" s="122" t="s">
        <v>3</v>
      </c>
      <c r="D44" s="126" t="s">
        <v>710</v>
      </c>
      <c r="E44" s="122" t="s">
        <v>183</v>
      </c>
      <c r="F44" s="124">
        <v>1299</v>
      </c>
      <c r="G44" s="125">
        <v>22</v>
      </c>
      <c r="H44" s="140">
        <v>180000</v>
      </c>
      <c r="I44" s="1"/>
    </row>
    <row r="45" spans="1:9" ht="15">
      <c r="A45" s="23"/>
      <c r="B45" s="11">
        <v>41</v>
      </c>
      <c r="C45" s="122" t="s">
        <v>8</v>
      </c>
      <c r="D45" s="123" t="s">
        <v>65</v>
      </c>
      <c r="E45" s="122" t="s">
        <v>184</v>
      </c>
      <c r="F45" s="124">
        <v>1304</v>
      </c>
      <c r="G45" s="125">
        <v>33</v>
      </c>
      <c r="H45" s="140">
        <v>140000</v>
      </c>
      <c r="I45" s="1"/>
    </row>
    <row r="46" spans="1:9" ht="15">
      <c r="A46" s="23"/>
      <c r="B46" s="11">
        <v>42</v>
      </c>
      <c r="C46" s="122" t="s">
        <v>9</v>
      </c>
      <c r="D46" s="123" t="s">
        <v>74</v>
      </c>
      <c r="E46" s="122" t="s">
        <v>185</v>
      </c>
      <c r="F46" s="124">
        <v>624</v>
      </c>
      <c r="G46" s="125">
        <v>17</v>
      </c>
      <c r="H46" s="140">
        <v>140000</v>
      </c>
      <c r="I46" s="1"/>
    </row>
    <row r="47" spans="1:9" ht="15">
      <c r="A47" s="23"/>
      <c r="B47" s="11">
        <v>43</v>
      </c>
      <c r="C47" s="122" t="s">
        <v>9</v>
      </c>
      <c r="D47" s="123" t="s">
        <v>67</v>
      </c>
      <c r="E47" s="122" t="s">
        <v>186</v>
      </c>
      <c r="F47" s="124">
        <v>1116</v>
      </c>
      <c r="G47" s="125">
        <v>27</v>
      </c>
      <c r="H47" s="140">
        <v>180000</v>
      </c>
      <c r="I47" s="1"/>
    </row>
    <row r="48" spans="1:9" ht="15">
      <c r="A48" s="23"/>
      <c r="B48" s="122">
        <v>44</v>
      </c>
      <c r="C48" s="122" t="s">
        <v>9</v>
      </c>
      <c r="D48" s="123" t="s">
        <v>64</v>
      </c>
      <c r="E48" s="122" t="s">
        <v>187</v>
      </c>
      <c r="F48" s="124">
        <v>1243</v>
      </c>
      <c r="G48" s="125">
        <v>30</v>
      </c>
      <c r="H48" s="140">
        <v>180000</v>
      </c>
      <c r="I48" s="1"/>
    </row>
    <row r="49" spans="1:10" ht="15">
      <c r="A49" s="23"/>
      <c r="B49" s="122">
        <v>45</v>
      </c>
      <c r="C49" s="122" t="s">
        <v>9</v>
      </c>
      <c r="D49" s="123" t="s">
        <v>62</v>
      </c>
      <c r="E49" s="122" t="s">
        <v>188</v>
      </c>
      <c r="F49" s="124">
        <v>536</v>
      </c>
      <c r="G49" s="125">
        <v>15</v>
      </c>
      <c r="H49" s="140">
        <v>140000</v>
      </c>
      <c r="I49" s="1"/>
    </row>
    <row r="50" spans="1:10" ht="15">
      <c r="A50" s="23"/>
      <c r="B50" s="11">
        <v>46</v>
      </c>
      <c r="C50" s="122" t="s">
        <v>6</v>
      </c>
      <c r="D50" s="123" t="s">
        <v>70</v>
      </c>
      <c r="E50" s="122" t="s">
        <v>189</v>
      </c>
      <c r="F50" s="124">
        <v>1500</v>
      </c>
      <c r="G50" s="125">
        <v>64</v>
      </c>
      <c r="H50" s="140">
        <v>180000</v>
      </c>
      <c r="I50" s="1"/>
    </row>
    <row r="51" spans="1:10" ht="15">
      <c r="A51" s="23"/>
      <c r="B51" s="11">
        <v>47</v>
      </c>
      <c r="C51" s="122" t="s">
        <v>6</v>
      </c>
      <c r="D51" s="123" t="s">
        <v>66</v>
      </c>
      <c r="E51" s="122" t="s">
        <v>190</v>
      </c>
      <c r="F51" s="124">
        <v>1115</v>
      </c>
      <c r="G51" s="125">
        <v>42</v>
      </c>
      <c r="H51" s="140">
        <v>180000</v>
      </c>
      <c r="I51" s="1"/>
    </row>
    <row r="52" spans="1:10" ht="15">
      <c r="A52" s="23"/>
      <c r="B52" s="11">
        <v>48</v>
      </c>
      <c r="C52" s="122" t="s">
        <v>7</v>
      </c>
      <c r="D52" s="123" t="s">
        <v>191</v>
      </c>
      <c r="E52" s="122" t="s">
        <v>192</v>
      </c>
      <c r="F52" s="124">
        <v>570</v>
      </c>
      <c r="G52" s="125">
        <v>20</v>
      </c>
      <c r="H52" s="140">
        <v>140000</v>
      </c>
      <c r="I52" s="1"/>
    </row>
    <row r="53" spans="1:10" ht="15">
      <c r="A53" s="23"/>
      <c r="B53" s="122">
        <v>49</v>
      </c>
      <c r="C53" s="160" t="s">
        <v>3</v>
      </c>
      <c r="D53" s="158" t="s">
        <v>72</v>
      </c>
      <c r="E53" s="160" t="s">
        <v>193</v>
      </c>
      <c r="F53" s="161">
        <v>3375</v>
      </c>
      <c r="G53" s="118">
        <v>142</v>
      </c>
      <c r="H53" s="140">
        <v>400000</v>
      </c>
      <c r="I53" s="142" t="s">
        <v>721</v>
      </c>
    </row>
    <row r="54" spans="1:10" ht="15">
      <c r="A54" s="23"/>
      <c r="B54" s="122">
        <v>50</v>
      </c>
      <c r="C54" s="122" t="s">
        <v>6</v>
      </c>
      <c r="D54" s="123" t="s">
        <v>71</v>
      </c>
      <c r="E54" s="122" t="s">
        <v>194</v>
      </c>
      <c r="F54" s="124">
        <v>3100</v>
      </c>
      <c r="G54" s="125">
        <v>99</v>
      </c>
      <c r="H54" s="140">
        <v>280000</v>
      </c>
      <c r="I54" s="1"/>
    </row>
    <row r="55" spans="1:10" ht="15">
      <c r="A55" s="23"/>
      <c r="B55" s="11">
        <v>51</v>
      </c>
      <c r="C55" s="123" t="s">
        <v>8</v>
      </c>
      <c r="D55" s="123" t="s">
        <v>82</v>
      </c>
      <c r="E55" s="123" t="s">
        <v>195</v>
      </c>
      <c r="F55" s="127">
        <v>1430</v>
      </c>
      <c r="G55" s="125">
        <v>41</v>
      </c>
      <c r="H55" s="140">
        <v>210000</v>
      </c>
      <c r="I55" s="1"/>
    </row>
    <row r="56" spans="1:10" ht="15">
      <c r="A56" s="23"/>
      <c r="B56" s="11">
        <v>52</v>
      </c>
      <c r="C56" s="123" t="s">
        <v>8</v>
      </c>
      <c r="D56" s="123" t="s">
        <v>87</v>
      </c>
      <c r="E56" s="123" t="s">
        <v>196</v>
      </c>
      <c r="F56" s="127">
        <v>2328</v>
      </c>
      <c r="G56" s="125">
        <v>56</v>
      </c>
      <c r="H56" s="140">
        <v>210000</v>
      </c>
      <c r="I56" s="1"/>
    </row>
    <row r="57" spans="1:10" ht="15">
      <c r="A57" s="23"/>
      <c r="B57" s="11">
        <v>53</v>
      </c>
      <c r="C57" s="158" t="s">
        <v>3</v>
      </c>
      <c r="D57" s="158" t="s">
        <v>75</v>
      </c>
      <c r="E57" s="158" t="s">
        <v>197</v>
      </c>
      <c r="F57" s="159">
        <v>12032</v>
      </c>
      <c r="G57" s="118">
        <v>304</v>
      </c>
      <c r="H57" s="140">
        <v>3040000</v>
      </c>
      <c r="I57" s="142" t="s">
        <v>721</v>
      </c>
      <c r="J57" s="143"/>
    </row>
    <row r="58" spans="1:10" ht="15">
      <c r="A58" s="23"/>
      <c r="B58" s="122">
        <v>54</v>
      </c>
      <c r="C58" s="122" t="s">
        <v>3</v>
      </c>
      <c r="D58" s="123" t="s">
        <v>85</v>
      </c>
      <c r="E58" s="122" t="s">
        <v>198</v>
      </c>
      <c r="F58" s="124">
        <v>5678</v>
      </c>
      <c r="G58" s="125">
        <v>214</v>
      </c>
      <c r="H58" s="140">
        <v>600000</v>
      </c>
      <c r="I58" s="142"/>
    </row>
    <row r="59" spans="1:10" ht="15">
      <c r="A59" s="23"/>
      <c r="B59" s="122">
        <v>55</v>
      </c>
      <c r="C59" s="122" t="s">
        <v>116</v>
      </c>
      <c r="D59" s="123" t="s">
        <v>88</v>
      </c>
      <c r="E59" s="122" t="s">
        <v>199</v>
      </c>
      <c r="F59" s="124">
        <v>1338</v>
      </c>
      <c r="G59" s="125">
        <v>39</v>
      </c>
      <c r="H59" s="140">
        <v>150000</v>
      </c>
      <c r="I59" s="1"/>
    </row>
    <row r="60" spans="1:10" ht="15">
      <c r="A60" s="23"/>
      <c r="B60" s="11">
        <v>56</v>
      </c>
      <c r="C60" s="123" t="s">
        <v>6</v>
      </c>
      <c r="D60" s="123" t="s">
        <v>77</v>
      </c>
      <c r="E60" s="123" t="s">
        <v>200</v>
      </c>
      <c r="F60" s="127">
        <v>2371</v>
      </c>
      <c r="G60" s="125">
        <v>80</v>
      </c>
      <c r="H60" s="140">
        <v>300000</v>
      </c>
      <c r="I60" s="1"/>
    </row>
    <row r="61" spans="1:10" ht="15">
      <c r="A61" s="23"/>
      <c r="B61" s="11">
        <v>57</v>
      </c>
      <c r="C61" s="123" t="s">
        <v>6</v>
      </c>
      <c r="D61" s="123" t="s">
        <v>76</v>
      </c>
      <c r="E61" s="123" t="s">
        <v>201</v>
      </c>
      <c r="F61" s="127">
        <v>3384</v>
      </c>
      <c r="G61" s="125">
        <v>109</v>
      </c>
      <c r="H61" s="140">
        <v>400000</v>
      </c>
      <c r="I61" s="1"/>
    </row>
    <row r="62" spans="1:10" ht="15">
      <c r="A62" s="23"/>
      <c r="B62" s="11">
        <v>58</v>
      </c>
      <c r="C62" s="122" t="s">
        <v>5</v>
      </c>
      <c r="D62" s="123" t="s">
        <v>80</v>
      </c>
      <c r="E62" s="122" t="s">
        <v>202</v>
      </c>
      <c r="F62" s="124">
        <v>996</v>
      </c>
      <c r="G62" s="125">
        <v>34</v>
      </c>
      <c r="H62" s="140">
        <v>140000</v>
      </c>
      <c r="I62" s="1"/>
    </row>
    <row r="63" spans="1:10" ht="15">
      <c r="A63" s="23"/>
      <c r="B63" s="122">
        <v>59</v>
      </c>
      <c r="C63" s="122" t="s">
        <v>116</v>
      </c>
      <c r="D63" s="123" t="s">
        <v>84</v>
      </c>
      <c r="E63" s="122" t="s">
        <v>203</v>
      </c>
      <c r="F63" s="124">
        <v>1500</v>
      </c>
      <c r="G63" s="125">
        <v>48</v>
      </c>
      <c r="H63" s="140">
        <v>180000</v>
      </c>
      <c r="I63" s="1"/>
    </row>
    <row r="64" spans="1:10" ht="15">
      <c r="A64" s="23"/>
      <c r="B64" s="122">
        <v>60</v>
      </c>
      <c r="C64" s="122" t="s">
        <v>116</v>
      </c>
      <c r="D64" s="123" t="s">
        <v>204</v>
      </c>
      <c r="E64" s="122" t="s">
        <v>205</v>
      </c>
      <c r="F64" s="124">
        <v>992</v>
      </c>
      <c r="G64" s="125">
        <v>23</v>
      </c>
      <c r="H64" s="140">
        <v>180000</v>
      </c>
      <c r="I64" s="1"/>
    </row>
    <row r="65" spans="1:9" ht="15">
      <c r="A65" s="23"/>
      <c r="B65" s="11">
        <v>61</v>
      </c>
      <c r="C65" s="122" t="s">
        <v>3</v>
      </c>
      <c r="D65" s="123" t="s">
        <v>83</v>
      </c>
      <c r="E65" s="122" t="s">
        <v>206</v>
      </c>
      <c r="F65" s="124">
        <v>2938</v>
      </c>
      <c r="G65" s="125">
        <v>68</v>
      </c>
      <c r="H65" s="140">
        <v>400000</v>
      </c>
      <c r="I65" s="1"/>
    </row>
    <row r="66" spans="1:9" ht="15">
      <c r="A66" s="23"/>
      <c r="B66" s="11">
        <v>62</v>
      </c>
      <c r="C66" s="122" t="s">
        <v>3</v>
      </c>
      <c r="D66" s="123" t="s">
        <v>108</v>
      </c>
      <c r="E66" s="122" t="s">
        <v>207</v>
      </c>
      <c r="F66" s="124">
        <v>2182</v>
      </c>
      <c r="G66" s="125">
        <v>47</v>
      </c>
      <c r="H66" s="140">
        <v>250000</v>
      </c>
      <c r="I66" s="1"/>
    </row>
    <row r="67" spans="1:9" ht="15">
      <c r="A67" s="23"/>
      <c r="B67" s="11">
        <v>63</v>
      </c>
      <c r="C67" s="122" t="s">
        <v>8</v>
      </c>
      <c r="D67" s="123" t="s">
        <v>81</v>
      </c>
      <c r="E67" s="122" t="s">
        <v>208</v>
      </c>
      <c r="F67" s="124">
        <v>1963</v>
      </c>
      <c r="G67" s="125">
        <v>41</v>
      </c>
      <c r="H67" s="140">
        <v>250000</v>
      </c>
      <c r="I67" s="1"/>
    </row>
    <row r="68" spans="1:9" ht="15">
      <c r="A68" s="23"/>
      <c r="B68" s="122">
        <v>64</v>
      </c>
      <c r="C68" s="123" t="s">
        <v>7</v>
      </c>
      <c r="D68" s="123" t="s">
        <v>209</v>
      </c>
      <c r="E68" s="122" t="s">
        <v>210</v>
      </c>
      <c r="F68" s="128">
        <v>884</v>
      </c>
      <c r="G68" s="125">
        <v>24</v>
      </c>
      <c r="H68" s="140">
        <v>120000</v>
      </c>
      <c r="I68" s="1"/>
    </row>
    <row r="69" spans="1:9" ht="15">
      <c r="A69" s="23"/>
      <c r="B69" s="122">
        <v>65</v>
      </c>
      <c r="C69" s="123" t="s">
        <v>116</v>
      </c>
      <c r="D69" s="126" t="s">
        <v>711</v>
      </c>
      <c r="E69" s="122" t="s">
        <v>211</v>
      </c>
      <c r="F69" s="124">
        <v>1234</v>
      </c>
      <c r="G69" s="125">
        <v>33</v>
      </c>
      <c r="H69" s="140">
        <v>180000</v>
      </c>
      <c r="I69" s="1"/>
    </row>
    <row r="70" spans="1:9" ht="15">
      <c r="A70" s="23"/>
      <c r="B70" s="11">
        <v>66</v>
      </c>
      <c r="C70" s="123" t="s">
        <v>6</v>
      </c>
      <c r="D70" s="123" t="s">
        <v>113</v>
      </c>
      <c r="E70" s="122" t="s">
        <v>212</v>
      </c>
      <c r="F70" s="124">
        <v>1047</v>
      </c>
      <c r="G70" s="125">
        <v>28</v>
      </c>
      <c r="H70" s="140">
        <v>180000</v>
      </c>
      <c r="I70" s="1"/>
    </row>
    <row r="71" spans="1:9" ht="15">
      <c r="A71" s="23"/>
      <c r="B71" s="11">
        <v>67</v>
      </c>
      <c r="C71" s="122" t="s">
        <v>8</v>
      </c>
      <c r="D71" s="123" t="s">
        <v>93</v>
      </c>
      <c r="E71" s="122" t="s">
        <v>213</v>
      </c>
      <c r="F71" s="124">
        <v>2815</v>
      </c>
      <c r="G71" s="125">
        <v>87</v>
      </c>
      <c r="H71" s="140">
        <v>300000</v>
      </c>
      <c r="I71" s="1"/>
    </row>
    <row r="72" spans="1:9" ht="15">
      <c r="A72" s="23"/>
      <c r="B72" s="11">
        <v>68</v>
      </c>
      <c r="C72" s="122" t="s">
        <v>8</v>
      </c>
      <c r="D72" s="123" t="s">
        <v>89</v>
      </c>
      <c r="E72" s="122" t="s">
        <v>214</v>
      </c>
      <c r="F72" s="124">
        <v>1330</v>
      </c>
      <c r="G72" s="125">
        <v>42</v>
      </c>
      <c r="H72" s="140">
        <v>250000</v>
      </c>
      <c r="I72" s="1"/>
    </row>
    <row r="73" spans="1:9" ht="15">
      <c r="A73" s="23"/>
      <c r="B73" s="122">
        <v>69</v>
      </c>
      <c r="C73" s="122" t="s">
        <v>3</v>
      </c>
      <c r="D73" s="123" t="s">
        <v>95</v>
      </c>
      <c r="E73" s="123" t="s">
        <v>215</v>
      </c>
      <c r="F73" s="127">
        <v>1016</v>
      </c>
      <c r="G73" s="125">
        <v>9</v>
      </c>
      <c r="H73" s="140">
        <v>120000</v>
      </c>
      <c r="I73" s="1"/>
    </row>
    <row r="74" spans="1:9" ht="15">
      <c r="A74" s="23"/>
      <c r="B74" s="122">
        <v>70</v>
      </c>
      <c r="C74" s="122" t="s">
        <v>3</v>
      </c>
      <c r="D74" s="123" t="s">
        <v>96</v>
      </c>
      <c r="E74" s="123" t="s">
        <v>216</v>
      </c>
      <c r="F74" s="127">
        <v>656</v>
      </c>
      <c r="G74" s="125">
        <v>14</v>
      </c>
      <c r="H74" s="140">
        <v>120000</v>
      </c>
      <c r="I74" s="1"/>
    </row>
    <row r="75" spans="1:9" ht="15">
      <c r="A75" s="23"/>
      <c r="B75" s="11">
        <v>71</v>
      </c>
      <c r="C75" s="122" t="s">
        <v>3</v>
      </c>
      <c r="D75" s="123" t="s">
        <v>117</v>
      </c>
      <c r="E75" s="123" t="s">
        <v>217</v>
      </c>
      <c r="F75" s="127">
        <v>959</v>
      </c>
      <c r="G75" s="125">
        <v>30</v>
      </c>
      <c r="H75" s="140">
        <v>120000</v>
      </c>
      <c r="I75" s="1"/>
    </row>
    <row r="76" spans="1:9" ht="15">
      <c r="A76" s="23"/>
      <c r="B76" s="11">
        <v>72</v>
      </c>
      <c r="C76" s="122" t="s">
        <v>6</v>
      </c>
      <c r="D76" s="123" t="s">
        <v>100</v>
      </c>
      <c r="E76" s="123" t="s">
        <v>218</v>
      </c>
      <c r="F76" s="127">
        <v>1330</v>
      </c>
      <c r="G76" s="125">
        <v>30</v>
      </c>
      <c r="H76" s="140">
        <v>150000</v>
      </c>
      <c r="I76" s="1"/>
    </row>
    <row r="77" spans="1:9" ht="15">
      <c r="A77" s="23"/>
      <c r="B77" s="11">
        <v>73</v>
      </c>
      <c r="C77" s="122" t="s">
        <v>8</v>
      </c>
      <c r="D77" s="123" t="s">
        <v>101</v>
      </c>
      <c r="E77" s="123" t="s">
        <v>219</v>
      </c>
      <c r="F77" s="129">
        <v>1075</v>
      </c>
      <c r="G77" s="125">
        <v>28</v>
      </c>
      <c r="H77" s="140">
        <v>120000</v>
      </c>
      <c r="I77" s="1"/>
    </row>
    <row r="78" spans="1:9" ht="15">
      <c r="A78" s="23"/>
      <c r="B78" s="122">
        <v>74</v>
      </c>
      <c r="C78" s="122" t="s">
        <v>6</v>
      </c>
      <c r="D78" s="123" t="s">
        <v>102</v>
      </c>
      <c r="E78" s="123" t="s">
        <v>220</v>
      </c>
      <c r="F78" s="127">
        <v>1623</v>
      </c>
      <c r="G78" s="125">
        <v>60</v>
      </c>
      <c r="H78" s="140">
        <v>180000</v>
      </c>
      <c r="I78" s="1"/>
    </row>
    <row r="79" spans="1:9" ht="15">
      <c r="A79" s="23"/>
      <c r="B79" s="122">
        <v>75</v>
      </c>
      <c r="C79" s="122" t="s">
        <v>7</v>
      </c>
      <c r="D79" s="123" t="s">
        <v>221</v>
      </c>
      <c r="E79" s="123" t="s">
        <v>222</v>
      </c>
      <c r="F79" s="129">
        <v>442</v>
      </c>
      <c r="G79" s="125">
        <v>14</v>
      </c>
      <c r="H79" s="140">
        <v>120000</v>
      </c>
      <c r="I79" s="1"/>
    </row>
    <row r="80" spans="1:9" ht="15">
      <c r="A80" s="23"/>
      <c r="B80" s="11">
        <v>76</v>
      </c>
      <c r="C80" s="122" t="s">
        <v>6</v>
      </c>
      <c r="D80" s="123" t="s">
        <v>98</v>
      </c>
      <c r="E80" s="123" t="s">
        <v>223</v>
      </c>
      <c r="F80" s="127">
        <v>5050</v>
      </c>
      <c r="G80" s="125">
        <v>130</v>
      </c>
      <c r="H80" s="140">
        <v>500000</v>
      </c>
      <c r="I80" s="1"/>
    </row>
    <row r="81" spans="1:10" ht="15">
      <c r="A81" s="23"/>
      <c r="B81" s="11">
        <v>77</v>
      </c>
      <c r="C81" s="130" t="s">
        <v>6</v>
      </c>
      <c r="D81" s="130" t="s">
        <v>110</v>
      </c>
      <c r="E81" s="130" t="s">
        <v>224</v>
      </c>
      <c r="F81" s="131">
        <v>5678</v>
      </c>
      <c r="G81" s="125">
        <v>146</v>
      </c>
      <c r="H81" s="140">
        <v>400000</v>
      </c>
      <c r="I81" s="1"/>
    </row>
    <row r="82" spans="1:10" ht="15">
      <c r="A82" s="3"/>
      <c r="B82" s="11">
        <v>78</v>
      </c>
      <c r="C82" s="130" t="s">
        <v>8</v>
      </c>
      <c r="D82" s="130" t="s">
        <v>104</v>
      </c>
      <c r="E82" s="130" t="s">
        <v>225</v>
      </c>
      <c r="F82" s="131">
        <v>1033</v>
      </c>
      <c r="G82" s="125">
        <v>21</v>
      </c>
      <c r="H82" s="140">
        <v>120000</v>
      </c>
      <c r="I82" s="1"/>
    </row>
    <row r="83" spans="1:10" ht="15">
      <c r="A83" s="3"/>
      <c r="B83" s="122">
        <v>79</v>
      </c>
      <c r="C83" s="130" t="s">
        <v>6</v>
      </c>
      <c r="D83" s="130" t="s">
        <v>105</v>
      </c>
      <c r="E83" s="130" t="s">
        <v>226</v>
      </c>
      <c r="F83" s="131">
        <v>1503</v>
      </c>
      <c r="G83" s="125">
        <v>27</v>
      </c>
      <c r="H83" s="140">
        <v>200000</v>
      </c>
      <c r="I83" s="1"/>
    </row>
    <row r="84" spans="1:10" ht="15">
      <c r="A84" s="3"/>
      <c r="B84" s="122">
        <v>80</v>
      </c>
      <c r="C84" s="9" t="s">
        <v>8</v>
      </c>
      <c r="D84" s="9" t="s">
        <v>227</v>
      </c>
      <c r="E84" s="9" t="s">
        <v>228</v>
      </c>
      <c r="F84" s="107">
        <v>1227</v>
      </c>
      <c r="G84" s="109">
        <v>37</v>
      </c>
      <c r="H84" s="140">
        <v>150000</v>
      </c>
      <c r="I84" s="1"/>
    </row>
    <row r="85" spans="1:10" ht="15">
      <c r="A85" s="3"/>
      <c r="B85" s="11">
        <v>81</v>
      </c>
      <c r="C85" s="9" t="s">
        <v>8</v>
      </c>
      <c r="D85" s="9" t="s">
        <v>106</v>
      </c>
      <c r="E85" s="9" t="s">
        <v>229</v>
      </c>
      <c r="F85" s="108">
        <v>897</v>
      </c>
      <c r="G85" s="109">
        <v>23</v>
      </c>
      <c r="H85" s="140">
        <v>120000</v>
      </c>
      <c r="I85" s="1"/>
    </row>
    <row r="86" spans="1:10" ht="15">
      <c r="A86" s="3"/>
      <c r="B86" s="11">
        <v>82</v>
      </c>
      <c r="C86" s="9" t="s">
        <v>6</v>
      </c>
      <c r="D86" s="9" t="s">
        <v>97</v>
      </c>
      <c r="E86" s="9" t="s">
        <v>230</v>
      </c>
      <c r="F86" s="107">
        <v>1533</v>
      </c>
      <c r="G86" s="109">
        <v>26</v>
      </c>
      <c r="H86" s="140">
        <v>200000</v>
      </c>
      <c r="I86" s="1"/>
    </row>
    <row r="87" spans="1:10" ht="15">
      <c r="A87" s="3"/>
      <c r="B87" s="11">
        <v>83</v>
      </c>
      <c r="C87" s="9" t="s">
        <v>8</v>
      </c>
      <c r="D87" s="9" t="s">
        <v>107</v>
      </c>
      <c r="E87" s="9" t="s">
        <v>231</v>
      </c>
      <c r="F87" s="107">
        <v>1766</v>
      </c>
      <c r="G87" s="109">
        <v>57</v>
      </c>
      <c r="H87" s="140">
        <v>250000</v>
      </c>
      <c r="I87" s="1"/>
    </row>
    <row r="88" spans="1:10" ht="15">
      <c r="A88" s="3"/>
      <c r="B88" s="122">
        <v>84</v>
      </c>
      <c r="C88" s="9" t="s">
        <v>8</v>
      </c>
      <c r="D88" s="9" t="s">
        <v>115</v>
      </c>
      <c r="E88" s="9" t="s">
        <v>232</v>
      </c>
      <c r="F88" s="107">
        <v>1313</v>
      </c>
      <c r="G88" s="109">
        <v>23</v>
      </c>
      <c r="H88" s="140">
        <v>150000</v>
      </c>
      <c r="I88" s="1"/>
    </row>
    <row r="89" spans="1:10" ht="15">
      <c r="A89" s="3"/>
      <c r="B89" s="122">
        <v>85</v>
      </c>
      <c r="C89" s="9" t="s">
        <v>8</v>
      </c>
      <c r="D89" s="9" t="s">
        <v>120</v>
      </c>
      <c r="E89" s="9" t="s">
        <v>233</v>
      </c>
      <c r="F89" s="107">
        <v>2712</v>
      </c>
      <c r="G89" s="109">
        <v>49</v>
      </c>
      <c r="H89" s="140">
        <v>250000</v>
      </c>
      <c r="I89" s="1"/>
    </row>
    <row r="90" spans="1:10" ht="15">
      <c r="A90" s="3"/>
      <c r="B90" s="11">
        <v>86</v>
      </c>
      <c r="C90" s="130" t="s">
        <v>3</v>
      </c>
      <c r="D90" s="130" t="s">
        <v>114</v>
      </c>
      <c r="E90" s="130" t="s">
        <v>234</v>
      </c>
      <c r="F90" s="131">
        <v>1910</v>
      </c>
      <c r="G90" s="125">
        <v>89</v>
      </c>
      <c r="H90" s="140">
        <v>180000</v>
      </c>
      <c r="I90" s="1"/>
    </row>
    <row r="91" spans="1:10" ht="15">
      <c r="A91" s="3"/>
      <c r="B91" s="11">
        <v>87</v>
      </c>
      <c r="C91" s="120" t="s">
        <v>8</v>
      </c>
      <c r="D91" s="119" t="s">
        <v>118</v>
      </c>
      <c r="E91" s="120" t="s">
        <v>235</v>
      </c>
      <c r="F91" s="121">
        <v>3344</v>
      </c>
      <c r="G91" s="118">
        <v>100</v>
      </c>
      <c r="H91" s="140">
        <v>420000</v>
      </c>
      <c r="I91" s="142" t="s">
        <v>721</v>
      </c>
      <c r="J91" s="143"/>
    </row>
    <row r="92" spans="1:10" ht="15">
      <c r="A92" s="3"/>
      <c r="B92" s="11">
        <v>88</v>
      </c>
      <c r="C92" s="132" t="s">
        <v>8</v>
      </c>
      <c r="D92" s="132" t="s">
        <v>127</v>
      </c>
      <c r="E92" s="132" t="s">
        <v>236</v>
      </c>
      <c r="F92" s="133">
        <v>2886</v>
      </c>
      <c r="G92" s="125">
        <v>60</v>
      </c>
      <c r="H92" s="140">
        <v>300000</v>
      </c>
      <c r="I92" s="144"/>
    </row>
    <row r="93" spans="1:10" ht="15">
      <c r="A93" s="3"/>
      <c r="B93" s="122">
        <v>89</v>
      </c>
      <c r="C93" s="132" t="s">
        <v>3</v>
      </c>
      <c r="D93" s="130" t="s">
        <v>121</v>
      </c>
      <c r="E93" s="132" t="s">
        <v>237</v>
      </c>
      <c r="F93" s="133">
        <v>3226</v>
      </c>
      <c r="G93" s="125">
        <v>41</v>
      </c>
      <c r="H93" s="140">
        <v>360000</v>
      </c>
      <c r="I93" s="1"/>
    </row>
    <row r="94" spans="1:10" ht="15">
      <c r="A94" s="3"/>
      <c r="B94" s="122">
        <v>90</v>
      </c>
      <c r="C94" s="130" t="s">
        <v>3</v>
      </c>
      <c r="D94" s="130" t="s">
        <v>122</v>
      </c>
      <c r="E94" s="130" t="s">
        <v>238</v>
      </c>
      <c r="F94" s="131">
        <v>2105</v>
      </c>
      <c r="G94" s="125">
        <v>40</v>
      </c>
      <c r="H94" s="140">
        <v>300000</v>
      </c>
      <c r="I94" s="1"/>
    </row>
    <row r="95" spans="1:10" ht="15">
      <c r="A95" s="3"/>
      <c r="B95" s="11">
        <v>91</v>
      </c>
      <c r="C95" s="130" t="s">
        <v>3</v>
      </c>
      <c r="D95" s="130" t="s">
        <v>239</v>
      </c>
      <c r="E95" s="130" t="s">
        <v>240</v>
      </c>
      <c r="F95" s="134">
        <v>608</v>
      </c>
      <c r="G95" s="125">
        <v>7</v>
      </c>
      <c r="H95" s="140">
        <v>120000</v>
      </c>
      <c r="I95" s="1"/>
    </row>
    <row r="96" spans="1:10" ht="15">
      <c r="A96" s="3"/>
      <c r="B96" s="11">
        <v>92</v>
      </c>
      <c r="C96" s="119" t="s">
        <v>3</v>
      </c>
      <c r="D96" s="120" t="s">
        <v>124</v>
      </c>
      <c r="E96" s="119" t="s">
        <v>197</v>
      </c>
      <c r="F96" s="157">
        <v>12032</v>
      </c>
      <c r="G96" s="118">
        <v>24</v>
      </c>
      <c r="H96" s="140">
        <v>400000</v>
      </c>
      <c r="I96" s="142" t="s">
        <v>721</v>
      </c>
      <c r="J96" s="143"/>
    </row>
    <row r="97" spans="1:9" ht="15">
      <c r="A97" s="3"/>
      <c r="B97" s="11">
        <v>93</v>
      </c>
      <c r="C97" s="130" t="s">
        <v>3</v>
      </c>
      <c r="D97" s="139" t="s">
        <v>707</v>
      </c>
      <c r="E97" s="130" t="s">
        <v>241</v>
      </c>
      <c r="F97" s="134">
        <v>780</v>
      </c>
      <c r="G97" s="125">
        <v>25</v>
      </c>
      <c r="H97" s="140">
        <v>180000</v>
      </c>
      <c r="I97" s="1"/>
    </row>
    <row r="98" spans="1:9" ht="15">
      <c r="A98" s="3"/>
      <c r="B98" s="122">
        <v>94</v>
      </c>
      <c r="C98" s="132" t="s">
        <v>3</v>
      </c>
      <c r="D98" s="132" t="s">
        <v>129</v>
      </c>
      <c r="E98" s="132" t="s">
        <v>242</v>
      </c>
      <c r="F98" s="133">
        <v>1073</v>
      </c>
      <c r="G98" s="125">
        <v>32</v>
      </c>
      <c r="H98" s="140">
        <v>250000</v>
      </c>
      <c r="I98" s="1"/>
    </row>
    <row r="99" spans="1:9" ht="15">
      <c r="A99" s="3"/>
      <c r="B99" s="122">
        <v>95</v>
      </c>
      <c r="C99" s="132" t="s">
        <v>8</v>
      </c>
      <c r="D99" s="132" t="s">
        <v>128</v>
      </c>
      <c r="E99" s="132" t="s">
        <v>243</v>
      </c>
      <c r="F99" s="133">
        <v>1409</v>
      </c>
      <c r="G99" s="125">
        <v>24</v>
      </c>
      <c r="H99" s="140">
        <v>240000</v>
      </c>
      <c r="I99" s="1"/>
    </row>
    <row r="100" spans="1:9" ht="15">
      <c r="A100" s="3"/>
      <c r="B100" s="11">
        <v>96</v>
      </c>
      <c r="C100" s="113" t="s">
        <v>702</v>
      </c>
      <c r="D100" s="114" t="s">
        <v>703</v>
      </c>
      <c r="E100" s="114" t="s">
        <v>704</v>
      </c>
      <c r="F100" s="115">
        <v>1909</v>
      </c>
      <c r="G100" s="116">
        <v>32</v>
      </c>
      <c r="H100" s="140">
        <v>180000</v>
      </c>
      <c r="I100" s="104"/>
    </row>
    <row r="101" spans="1:9" ht="15">
      <c r="A101" s="3"/>
      <c r="B101" s="11">
        <v>97</v>
      </c>
      <c r="C101" s="113" t="s">
        <v>702</v>
      </c>
      <c r="D101" s="114" t="s">
        <v>706</v>
      </c>
      <c r="E101" s="114" t="s">
        <v>705</v>
      </c>
      <c r="F101" s="115">
        <v>428</v>
      </c>
      <c r="G101" s="117">
        <v>8</v>
      </c>
      <c r="H101" s="140">
        <v>120000</v>
      </c>
      <c r="I101" s="104"/>
    </row>
    <row r="102" spans="1:9" ht="15">
      <c r="A102" s="3"/>
      <c r="B102" s="11">
        <v>98</v>
      </c>
      <c r="C102" s="136" t="s">
        <v>712</v>
      </c>
      <c r="D102" s="136" t="s">
        <v>708</v>
      </c>
      <c r="E102" s="136" t="s">
        <v>709</v>
      </c>
      <c r="F102" s="133">
        <v>999</v>
      </c>
      <c r="G102" s="137">
        <v>25</v>
      </c>
      <c r="H102" s="140">
        <v>120000</v>
      </c>
      <c r="I102" s="142" t="s">
        <v>718</v>
      </c>
    </row>
    <row r="103" spans="1:9" ht="15">
      <c r="A103" s="3"/>
      <c r="B103" s="11">
        <v>99</v>
      </c>
      <c r="C103" s="136" t="s">
        <v>712</v>
      </c>
      <c r="D103" s="136" t="s">
        <v>713</v>
      </c>
      <c r="E103" s="136" t="s">
        <v>715</v>
      </c>
      <c r="F103" s="133">
        <v>802</v>
      </c>
      <c r="G103" s="137">
        <v>19</v>
      </c>
      <c r="H103" s="140">
        <v>200000</v>
      </c>
      <c r="I103" s="1"/>
    </row>
    <row r="104" spans="1:9" ht="15">
      <c r="A104" s="3"/>
      <c r="B104" s="122">
        <v>100</v>
      </c>
      <c r="C104" s="136" t="s">
        <v>712</v>
      </c>
      <c r="D104" s="136" t="s">
        <v>714</v>
      </c>
      <c r="E104" s="136" t="s">
        <v>716</v>
      </c>
      <c r="F104" s="133">
        <v>752</v>
      </c>
      <c r="G104" s="137">
        <v>20</v>
      </c>
      <c r="H104" s="140">
        <v>200000</v>
      </c>
      <c r="I104" s="1"/>
    </row>
    <row r="105" spans="1:9" ht="15">
      <c r="A105" s="3"/>
      <c r="B105" s="11">
        <v>101</v>
      </c>
      <c r="C105" s="132" t="s">
        <v>8</v>
      </c>
      <c r="D105" s="136" t="s">
        <v>727</v>
      </c>
      <c r="E105" s="138" t="s">
        <v>717</v>
      </c>
      <c r="F105" s="133">
        <v>2736</v>
      </c>
      <c r="G105" s="125">
        <v>44</v>
      </c>
      <c r="H105" s="140">
        <v>300000</v>
      </c>
      <c r="I105" s="1"/>
    </row>
    <row r="106" spans="1:9" ht="15">
      <c r="A106" s="141"/>
      <c r="B106" s="11">
        <v>102</v>
      </c>
      <c r="C106" s="132" t="s">
        <v>8</v>
      </c>
      <c r="D106" s="136" t="s">
        <v>719</v>
      </c>
      <c r="E106" s="138" t="s">
        <v>720</v>
      </c>
      <c r="F106" s="133">
        <v>2586</v>
      </c>
      <c r="G106" s="125">
        <v>78</v>
      </c>
      <c r="H106" s="140">
        <v>300000</v>
      </c>
      <c r="I106" s="1"/>
    </row>
    <row r="107" spans="1:9" ht="15">
      <c r="B107" s="122">
        <v>103</v>
      </c>
      <c r="C107" s="132" t="s">
        <v>8</v>
      </c>
      <c r="D107" s="136" t="s">
        <v>724</v>
      </c>
      <c r="E107" s="136" t="s">
        <v>725</v>
      </c>
      <c r="F107" s="133">
        <v>3585</v>
      </c>
      <c r="G107" s="125">
        <v>70</v>
      </c>
      <c r="H107" s="140">
        <v>400000</v>
      </c>
      <c r="I107" s="1"/>
    </row>
    <row r="108" spans="1:9" ht="15">
      <c r="B108" s="11">
        <v>104</v>
      </c>
      <c r="C108" s="148" t="s">
        <v>8</v>
      </c>
      <c r="D108" s="149" t="s">
        <v>728</v>
      </c>
      <c r="E108" s="149" t="s">
        <v>729</v>
      </c>
      <c r="F108" s="133">
        <v>2417</v>
      </c>
      <c r="G108" s="125">
        <v>48</v>
      </c>
      <c r="H108" s="140">
        <v>300000</v>
      </c>
      <c r="I108" s="144"/>
    </row>
    <row r="109" spans="1:9" ht="15">
      <c r="B109" s="11">
        <v>105</v>
      </c>
      <c r="C109" s="148" t="s">
        <v>8</v>
      </c>
      <c r="D109" s="149" t="s">
        <v>730</v>
      </c>
      <c r="E109" s="149" t="s">
        <v>731</v>
      </c>
      <c r="F109" s="106">
        <v>1152</v>
      </c>
      <c r="G109" s="150">
        <v>7</v>
      </c>
      <c r="H109" s="140">
        <v>120000</v>
      </c>
      <c r="I109" s="147"/>
    </row>
    <row r="110" spans="1:9" ht="15">
      <c r="B110" s="122">
        <v>106</v>
      </c>
      <c r="C110" s="151" t="s">
        <v>8</v>
      </c>
      <c r="D110" s="149" t="s">
        <v>732</v>
      </c>
      <c r="E110" s="149" t="s">
        <v>733</v>
      </c>
      <c r="F110" s="106">
        <v>1957</v>
      </c>
      <c r="G110" s="150">
        <v>33</v>
      </c>
      <c r="H110" s="140">
        <v>250000</v>
      </c>
      <c r="I110" s="146"/>
    </row>
    <row r="111" spans="1:9" ht="15">
      <c r="B111" s="11">
        <v>107</v>
      </c>
      <c r="C111" s="151" t="s">
        <v>8</v>
      </c>
      <c r="D111" s="149" t="s">
        <v>734</v>
      </c>
      <c r="E111" s="149" t="s">
        <v>735</v>
      </c>
      <c r="F111" s="106">
        <v>744</v>
      </c>
      <c r="G111" s="150">
        <v>13</v>
      </c>
      <c r="H111" s="140">
        <v>120000</v>
      </c>
      <c r="I111" s="147"/>
    </row>
    <row r="112" spans="1:9" ht="15">
      <c r="B112" s="11">
        <v>108</v>
      </c>
      <c r="C112" s="148" t="s">
        <v>726</v>
      </c>
      <c r="D112" s="149" t="s">
        <v>736</v>
      </c>
      <c r="E112" s="152" t="s">
        <v>737</v>
      </c>
      <c r="F112" s="106">
        <v>582</v>
      </c>
      <c r="G112" s="150">
        <v>14</v>
      </c>
      <c r="H112" s="140">
        <v>150000</v>
      </c>
      <c r="I112" s="144"/>
    </row>
    <row r="113" spans="2:9" ht="15">
      <c r="B113" s="153">
        <v>109</v>
      </c>
      <c r="C113" s="154" t="s">
        <v>738</v>
      </c>
      <c r="D113" s="154" t="s">
        <v>739</v>
      </c>
      <c r="E113" s="154" t="s">
        <v>740</v>
      </c>
      <c r="F113" s="106">
        <v>1059</v>
      </c>
      <c r="G113" s="150">
        <v>27</v>
      </c>
      <c r="H113" s="140">
        <v>200000</v>
      </c>
      <c r="I113" s="144" t="s">
        <v>759</v>
      </c>
    </row>
    <row r="114" spans="2:9" ht="15">
      <c r="B114" s="122">
        <v>110</v>
      </c>
      <c r="C114" s="155" t="s">
        <v>741</v>
      </c>
      <c r="D114" s="154" t="s">
        <v>745</v>
      </c>
      <c r="E114" s="154" t="s">
        <v>743</v>
      </c>
      <c r="F114" s="106">
        <v>274</v>
      </c>
      <c r="G114" s="150">
        <v>6</v>
      </c>
      <c r="H114" s="140">
        <v>70000</v>
      </c>
      <c r="I114" s="144"/>
    </row>
    <row r="115" spans="2:9" ht="15">
      <c r="B115" s="11">
        <v>111</v>
      </c>
      <c r="C115" s="155" t="s">
        <v>738</v>
      </c>
      <c r="D115" s="154" t="s">
        <v>746</v>
      </c>
      <c r="E115" s="154" t="s">
        <v>744</v>
      </c>
      <c r="F115" s="106">
        <v>487</v>
      </c>
      <c r="G115" s="150">
        <v>8</v>
      </c>
      <c r="H115" s="140">
        <v>100000</v>
      </c>
      <c r="I115" s="144"/>
    </row>
    <row r="116" spans="2:9" ht="15">
      <c r="B116" s="11">
        <v>112</v>
      </c>
      <c r="C116" s="155" t="s">
        <v>747</v>
      </c>
      <c r="D116" s="154" t="s">
        <v>748</v>
      </c>
      <c r="E116" s="154" t="s">
        <v>742</v>
      </c>
      <c r="F116" s="106">
        <v>1425</v>
      </c>
      <c r="G116" s="150">
        <v>30</v>
      </c>
      <c r="H116" s="140">
        <v>250000</v>
      </c>
      <c r="I116" s="144" t="s">
        <v>760</v>
      </c>
    </row>
    <row r="117" spans="2:9" ht="15">
      <c r="B117" s="153">
        <v>113</v>
      </c>
      <c r="C117" s="156" t="s">
        <v>738</v>
      </c>
      <c r="D117" s="156" t="s">
        <v>749</v>
      </c>
      <c r="E117" s="156" t="s">
        <v>750</v>
      </c>
      <c r="F117" s="124">
        <v>1970</v>
      </c>
      <c r="G117" s="164">
        <v>38</v>
      </c>
      <c r="H117" s="140">
        <v>300000</v>
      </c>
      <c r="I117" s="144"/>
    </row>
    <row r="118" spans="2:9" ht="67" customHeight="1">
      <c r="B118" s="156">
        <v>114</v>
      </c>
      <c r="C118" s="156" t="s">
        <v>741</v>
      </c>
      <c r="D118" s="156" t="s">
        <v>751</v>
      </c>
      <c r="E118" s="156" t="s">
        <v>752</v>
      </c>
      <c r="F118" s="124">
        <v>6700</v>
      </c>
      <c r="G118" s="185">
        <v>454</v>
      </c>
      <c r="H118" s="162" t="s">
        <v>753</v>
      </c>
      <c r="I118" s="163" t="s">
        <v>754</v>
      </c>
    </row>
    <row r="119" spans="2:9" ht="15">
      <c r="B119" s="181">
        <v>115</v>
      </c>
      <c r="C119" s="182" t="s">
        <v>741</v>
      </c>
      <c r="D119" s="182" t="s">
        <v>755</v>
      </c>
      <c r="E119" s="182" t="s">
        <v>756</v>
      </c>
      <c r="F119" s="183">
        <v>184</v>
      </c>
      <c r="G119" s="184">
        <v>7</v>
      </c>
      <c r="H119" s="140">
        <v>100000</v>
      </c>
      <c r="I119" s="1"/>
    </row>
    <row r="120" spans="2:9" ht="15">
      <c r="B120" s="181">
        <v>116</v>
      </c>
      <c r="C120" s="182" t="s">
        <v>741</v>
      </c>
      <c r="D120" s="182" t="s">
        <v>757</v>
      </c>
      <c r="E120" s="182" t="s">
        <v>758</v>
      </c>
      <c r="F120" s="183">
        <v>657</v>
      </c>
      <c r="G120" s="183">
        <v>16</v>
      </c>
      <c r="H120" s="140">
        <v>150000</v>
      </c>
      <c r="I120" s="1"/>
    </row>
    <row r="121" spans="2:9" ht="14">
      <c r="B121" s="1"/>
      <c r="C121" s="1"/>
      <c r="D121" s="1"/>
      <c r="E121" s="1"/>
      <c r="F121" s="1"/>
      <c r="G121" s="1"/>
      <c r="H121" s="1"/>
      <c r="I121" s="1"/>
    </row>
    <row r="122" spans="2:9" ht="14">
      <c r="B122" s="1"/>
      <c r="C122" s="1"/>
      <c r="D122" s="1"/>
      <c r="E122" s="1"/>
      <c r="F122" s="1"/>
      <c r="G122" s="1"/>
      <c r="H122" s="1"/>
      <c r="I122" s="1"/>
    </row>
    <row r="123" spans="2:9" ht="14">
      <c r="B123" s="1"/>
      <c r="C123" s="1"/>
      <c r="D123" s="1"/>
      <c r="E123" s="1"/>
      <c r="F123" s="1"/>
      <c r="G123" s="1"/>
      <c r="H123" s="1"/>
      <c r="I123" s="1"/>
    </row>
    <row r="124" spans="2:9" ht="14">
      <c r="B124" s="1"/>
      <c r="C124" s="1"/>
      <c r="D124" s="1"/>
      <c r="E124" s="1"/>
      <c r="F124" s="1"/>
      <c r="G124" s="1"/>
      <c r="H124" s="1"/>
      <c r="I124" s="1"/>
    </row>
    <row r="125" spans="2:9" ht="14">
      <c r="B125" s="1"/>
      <c r="C125" s="1"/>
      <c r="D125" s="1"/>
      <c r="E125" s="1"/>
      <c r="F125" s="1"/>
      <c r="G125" s="1"/>
      <c r="H125" s="1"/>
      <c r="I125" s="1"/>
    </row>
    <row r="126" spans="2:9" ht="14">
      <c r="D126" s="1"/>
      <c r="E126" s="1"/>
      <c r="F126" s="1"/>
      <c r="H126" s="1"/>
      <c r="I126" s="1"/>
    </row>
    <row r="127" spans="2:9" ht="14">
      <c r="D127" s="1"/>
      <c r="E127" s="1"/>
      <c r="F127" s="1"/>
      <c r="H127" s="1"/>
      <c r="I127" s="1"/>
    </row>
    <row r="128" spans="2:9" ht="14">
      <c r="D128" s="1"/>
      <c r="E128" s="1"/>
      <c r="F128" s="1"/>
      <c r="H128" s="1"/>
      <c r="I128" s="1"/>
    </row>
    <row r="129" spans="4:9" ht="14">
      <c r="D129" s="1"/>
      <c r="E129" s="1"/>
      <c r="F129" s="1"/>
      <c r="H129" s="1"/>
      <c r="I129" s="1"/>
    </row>
    <row r="130" spans="4:9" ht="14">
      <c r="D130" s="1"/>
      <c r="E130" s="1"/>
      <c r="F130" s="1"/>
      <c r="H130" s="1"/>
      <c r="I130" s="1"/>
    </row>
    <row r="131" spans="4:9" ht="14">
      <c r="D131" s="1"/>
      <c r="E131" s="1"/>
      <c r="F131" s="1"/>
      <c r="H131" s="1"/>
      <c r="I131" s="1"/>
    </row>
    <row r="132" spans="4:9" ht="14">
      <c r="D132" s="1"/>
      <c r="E132" s="1"/>
      <c r="F132" s="1"/>
      <c r="H132" s="1"/>
      <c r="I132" s="1"/>
    </row>
    <row r="133" spans="4:9" ht="14">
      <c r="D133" s="1"/>
      <c r="E133" s="1"/>
      <c r="F133" s="1"/>
      <c r="H133" s="1"/>
      <c r="I133" s="1"/>
    </row>
    <row r="134" spans="4:9" ht="14">
      <c r="D134" s="1"/>
      <c r="E134" s="1"/>
      <c r="F134" s="1"/>
      <c r="H134" s="1"/>
      <c r="I134" s="1"/>
    </row>
    <row r="135" spans="4:9" ht="14">
      <c r="D135" s="1"/>
      <c r="E135" s="1"/>
      <c r="F135" s="1"/>
      <c r="H135" s="1"/>
      <c r="I135" s="1"/>
    </row>
    <row r="136" spans="4:9" ht="14">
      <c r="D136" s="1"/>
      <c r="E136" s="1"/>
      <c r="F136" s="1"/>
      <c r="H136" s="1"/>
      <c r="I136" s="1"/>
    </row>
    <row r="137" spans="4:9" ht="14">
      <c r="D137" s="1"/>
      <c r="E137" s="1"/>
      <c r="F137" s="1"/>
      <c r="H137" s="1"/>
      <c r="I137" s="1"/>
    </row>
    <row r="138" spans="4:9" ht="14">
      <c r="D138" s="1"/>
      <c r="E138" s="1"/>
      <c r="F138" s="1"/>
      <c r="H138" s="1"/>
      <c r="I138" s="1"/>
    </row>
    <row r="139" spans="4:9" ht="14">
      <c r="D139" s="1"/>
      <c r="E139" s="1"/>
      <c r="F139" s="1"/>
      <c r="H139" s="1"/>
      <c r="I139" s="1"/>
    </row>
    <row r="140" spans="4:9" ht="14">
      <c r="D140" s="1"/>
      <c r="E140" s="1"/>
      <c r="F140" s="1"/>
      <c r="H140" s="1"/>
      <c r="I140" s="1"/>
    </row>
    <row r="141" spans="4:9" ht="14">
      <c r="D141" s="1"/>
      <c r="E141" s="1"/>
      <c r="F141" s="1"/>
      <c r="H141" s="1"/>
      <c r="I141" s="1"/>
    </row>
    <row r="142" spans="4:9" ht="14">
      <c r="D142" s="1"/>
      <c r="E142" s="1"/>
      <c r="F142" s="1"/>
      <c r="H142" s="1"/>
      <c r="I142" s="1"/>
    </row>
    <row r="143" spans="4:9" ht="14">
      <c r="D143" s="1"/>
      <c r="E143" s="1"/>
      <c r="F143" s="1"/>
      <c r="H143" s="1"/>
      <c r="I143" s="1"/>
    </row>
    <row r="144" spans="4:9" ht="14">
      <c r="D144" s="1"/>
      <c r="E144" s="1"/>
      <c r="F144" s="1"/>
      <c r="H144" s="1"/>
      <c r="I144" s="1"/>
    </row>
    <row r="145" spans="4:9" ht="14">
      <c r="D145" s="1"/>
      <c r="E145" s="1"/>
      <c r="F145" s="1"/>
      <c r="H145" s="1"/>
      <c r="I145" s="1"/>
    </row>
    <row r="146" spans="4:9" ht="14">
      <c r="D146" s="1"/>
      <c r="E146" s="1"/>
      <c r="F146" s="1"/>
      <c r="H146" s="1"/>
      <c r="I146" s="1"/>
    </row>
    <row r="147" spans="4:9" ht="14">
      <c r="D147" s="1"/>
      <c r="E147" s="1"/>
      <c r="F147" s="1"/>
      <c r="H147" s="1"/>
      <c r="I147" s="1"/>
    </row>
    <row r="148" spans="4:9" ht="14">
      <c r="D148" s="1"/>
      <c r="E148" s="1"/>
      <c r="F148" s="1"/>
      <c r="H148" s="1"/>
      <c r="I148" s="1"/>
    </row>
    <row r="149" spans="4:9" ht="14">
      <c r="D149" s="1"/>
      <c r="E149" s="1"/>
      <c r="F149" s="1"/>
      <c r="H149" s="1"/>
      <c r="I149" s="1"/>
    </row>
    <row r="150" spans="4:9" ht="14">
      <c r="D150" s="1"/>
      <c r="E150" s="1"/>
      <c r="F150" s="1"/>
      <c r="H150" s="1"/>
      <c r="I150" s="1"/>
    </row>
    <row r="151" spans="4:9" ht="14">
      <c r="D151" s="1"/>
      <c r="E151" s="1"/>
      <c r="F151" s="1"/>
      <c r="H151" s="1"/>
      <c r="I151" s="1"/>
    </row>
    <row r="152" spans="4:9" ht="14">
      <c r="D152" s="1"/>
      <c r="E152" s="1"/>
      <c r="F152" s="1"/>
      <c r="H152" s="1"/>
      <c r="I152" s="1"/>
    </row>
    <row r="153" spans="4:9" ht="14">
      <c r="D153" s="1"/>
      <c r="E153" s="1"/>
      <c r="F153" s="1"/>
      <c r="H153" s="1"/>
      <c r="I153" s="1"/>
    </row>
    <row r="154" spans="4:9" ht="14">
      <c r="D154" s="1"/>
      <c r="E154" s="1"/>
      <c r="F154" s="1"/>
      <c r="H154" s="1"/>
      <c r="I154" s="1"/>
    </row>
    <row r="155" spans="4:9" ht="14">
      <c r="D155" s="1"/>
      <c r="E155" s="1"/>
      <c r="F155" s="1"/>
      <c r="H155" s="1"/>
      <c r="I155" s="1"/>
    </row>
    <row r="156" spans="4:9" ht="14">
      <c r="D156" s="1"/>
      <c r="E156" s="1"/>
      <c r="F156" s="1"/>
      <c r="H156" s="1"/>
      <c r="I156" s="1"/>
    </row>
    <row r="157" spans="4:9" ht="14">
      <c r="D157" s="1"/>
      <c r="E157" s="1"/>
      <c r="F157" s="1"/>
      <c r="H157" s="1"/>
      <c r="I157" s="1"/>
    </row>
    <row r="158" spans="4:9" ht="14">
      <c r="D158" s="1"/>
      <c r="E158" s="1"/>
      <c r="F158" s="1"/>
      <c r="H158" s="1"/>
      <c r="I158" s="1"/>
    </row>
    <row r="159" spans="4:9" ht="14">
      <c r="D159" s="1"/>
      <c r="E159" s="1"/>
      <c r="F159" s="1"/>
      <c r="H159" s="1"/>
      <c r="I159" s="1"/>
    </row>
    <row r="160" spans="4:9" ht="14">
      <c r="D160" s="1"/>
      <c r="E160" s="1"/>
      <c r="F160" s="1"/>
      <c r="H160" s="1"/>
      <c r="I160" s="1"/>
    </row>
    <row r="161" spans="4:9" ht="14">
      <c r="D161" s="1"/>
      <c r="E161" s="1"/>
      <c r="F161" s="1"/>
      <c r="H161" s="1"/>
      <c r="I161" s="1"/>
    </row>
    <row r="162" spans="4:9" ht="14">
      <c r="D162" s="1"/>
      <c r="E162" s="1"/>
      <c r="F162" s="1"/>
      <c r="H162" s="1"/>
      <c r="I162" s="1"/>
    </row>
    <row r="163" spans="4:9" ht="14">
      <c r="D163" s="1"/>
      <c r="E163" s="1"/>
      <c r="F163" s="1"/>
      <c r="H163" s="1"/>
      <c r="I163" s="1"/>
    </row>
    <row r="164" spans="4:9" ht="14">
      <c r="D164" s="1"/>
      <c r="E164" s="1"/>
      <c r="F164" s="1"/>
      <c r="H164" s="1"/>
      <c r="I164" s="1"/>
    </row>
    <row r="165" spans="4:9" ht="14">
      <c r="D165" s="1"/>
      <c r="E165" s="1"/>
      <c r="F165" s="1"/>
      <c r="H165" s="1"/>
      <c r="I165" s="1"/>
    </row>
    <row r="166" spans="4:9" ht="14">
      <c r="D166" s="1"/>
      <c r="E166" s="1"/>
      <c r="F166" s="1"/>
      <c r="H166" s="1"/>
      <c r="I166" s="1"/>
    </row>
    <row r="167" spans="4:9" ht="14">
      <c r="D167" s="1"/>
      <c r="E167" s="1"/>
      <c r="F167" s="1"/>
      <c r="H167" s="1"/>
      <c r="I167" s="1"/>
    </row>
    <row r="168" spans="4:9" ht="14">
      <c r="D168" s="1"/>
      <c r="E168" s="1"/>
      <c r="F168" s="1"/>
      <c r="H168" s="1"/>
      <c r="I168" s="1"/>
    </row>
    <row r="169" spans="4:9" ht="14">
      <c r="D169" s="1"/>
      <c r="E169" s="1"/>
      <c r="F169" s="1"/>
      <c r="H169" s="1"/>
      <c r="I169" s="1"/>
    </row>
    <row r="170" spans="4:9" ht="14">
      <c r="D170" s="1"/>
      <c r="E170" s="1"/>
      <c r="F170" s="1"/>
      <c r="H170" s="1"/>
      <c r="I170" s="1"/>
    </row>
    <row r="171" spans="4:9" ht="14">
      <c r="D171" s="1"/>
      <c r="E171" s="1"/>
      <c r="F171" s="1"/>
      <c r="H171" s="1"/>
      <c r="I171" s="1"/>
    </row>
    <row r="172" spans="4:9" ht="14">
      <c r="D172" s="1"/>
      <c r="E172" s="1"/>
      <c r="F172" s="1"/>
      <c r="H172" s="1"/>
      <c r="I172" s="1"/>
    </row>
    <row r="173" spans="4:9" ht="14">
      <c r="D173" s="1"/>
      <c r="E173" s="1"/>
      <c r="F173" s="1"/>
      <c r="H173" s="1"/>
      <c r="I173" s="1"/>
    </row>
    <row r="174" spans="4:9" ht="14">
      <c r="D174" s="1"/>
      <c r="E174" s="1"/>
      <c r="F174" s="1"/>
      <c r="H174" s="1"/>
      <c r="I174" s="1"/>
    </row>
    <row r="175" spans="4:9" ht="14">
      <c r="D175" s="1"/>
      <c r="E175" s="1"/>
      <c r="F175" s="1"/>
      <c r="H175" s="1"/>
      <c r="I175" s="1"/>
    </row>
    <row r="176" spans="4:9" ht="14">
      <c r="D176" s="1"/>
      <c r="E176" s="1"/>
      <c r="F176" s="1"/>
      <c r="H176" s="1"/>
      <c r="I176" s="1"/>
    </row>
    <row r="177" spans="4:9" ht="14">
      <c r="D177" s="1"/>
      <c r="E177" s="1"/>
      <c r="F177" s="1"/>
      <c r="H177" s="1"/>
      <c r="I177" s="1"/>
    </row>
    <row r="178" spans="4:9" ht="14">
      <c r="D178" s="1"/>
      <c r="E178" s="1"/>
      <c r="F178" s="1"/>
      <c r="H178" s="1"/>
      <c r="I178" s="1"/>
    </row>
    <row r="179" spans="4:9" ht="14">
      <c r="D179" s="1"/>
      <c r="E179" s="1"/>
      <c r="F179" s="1"/>
      <c r="H179" s="1"/>
      <c r="I179" s="1"/>
    </row>
    <row r="180" spans="4:9" ht="14">
      <c r="D180" s="1"/>
      <c r="E180" s="1"/>
      <c r="F180" s="1"/>
      <c r="H180" s="1"/>
      <c r="I180" s="1"/>
    </row>
    <row r="181" spans="4:9" ht="14">
      <c r="D181" s="1"/>
      <c r="E181" s="1"/>
      <c r="F181" s="1"/>
      <c r="H181" s="1"/>
      <c r="I181" s="1"/>
    </row>
    <row r="182" spans="4:9" ht="14">
      <c r="D182" s="1"/>
      <c r="E182" s="1"/>
      <c r="F182" s="1"/>
      <c r="H182" s="1"/>
      <c r="I182" s="1"/>
    </row>
    <row r="183" spans="4:9" ht="14">
      <c r="D183" s="1"/>
      <c r="E183" s="1"/>
      <c r="F183" s="1"/>
      <c r="H183" s="1"/>
      <c r="I183" s="1"/>
    </row>
    <row r="184" spans="4:9" ht="14">
      <c r="D184" s="1"/>
      <c r="E184" s="1"/>
      <c r="F184" s="1"/>
      <c r="H184" s="1"/>
      <c r="I184" s="1"/>
    </row>
    <row r="185" spans="4:9" ht="14">
      <c r="D185" s="1"/>
      <c r="E185" s="1"/>
      <c r="F185" s="1"/>
      <c r="H185" s="1"/>
      <c r="I185" s="1"/>
    </row>
    <row r="186" spans="4:9" ht="14">
      <c r="D186" s="1"/>
      <c r="E186" s="1"/>
      <c r="F186" s="1"/>
      <c r="H186" s="1"/>
      <c r="I186" s="1"/>
    </row>
    <row r="187" spans="4:9" ht="14">
      <c r="D187" s="1"/>
      <c r="E187" s="1"/>
      <c r="F187" s="1"/>
      <c r="H187" s="1"/>
      <c r="I187" s="1"/>
    </row>
    <row r="188" spans="4:9" ht="14">
      <c r="D188" s="1"/>
      <c r="E188" s="1"/>
      <c r="F188" s="1"/>
      <c r="H188" s="1"/>
      <c r="I188" s="1"/>
    </row>
    <row r="189" spans="4:9" ht="14">
      <c r="D189" s="1"/>
      <c r="E189" s="1"/>
      <c r="F189" s="1"/>
      <c r="H189" s="1"/>
      <c r="I189" s="1"/>
    </row>
    <row r="190" spans="4:9" ht="14">
      <c r="D190" s="1"/>
      <c r="E190" s="1"/>
      <c r="F190" s="1"/>
      <c r="H190" s="1"/>
      <c r="I190" s="1"/>
    </row>
    <row r="191" spans="4:9" ht="14">
      <c r="D191" s="1"/>
      <c r="E191" s="1"/>
      <c r="F191" s="1"/>
      <c r="H191" s="1"/>
      <c r="I191" s="1"/>
    </row>
    <row r="192" spans="4:9" ht="14">
      <c r="D192" s="1"/>
      <c r="E192" s="1"/>
      <c r="F192" s="1"/>
      <c r="H192" s="1"/>
      <c r="I192" s="1"/>
    </row>
    <row r="193" spans="4:9" ht="14">
      <c r="D193" s="1"/>
      <c r="E193" s="1"/>
      <c r="F193" s="1"/>
      <c r="H193" s="1"/>
      <c r="I193" s="1"/>
    </row>
    <row r="194" spans="4:9" ht="14">
      <c r="D194" s="1"/>
      <c r="E194" s="1"/>
      <c r="F194" s="1"/>
      <c r="H194" s="1"/>
      <c r="I194" s="1"/>
    </row>
    <row r="195" spans="4:9" ht="14">
      <c r="D195" s="1"/>
      <c r="E195" s="1"/>
      <c r="F195" s="1"/>
      <c r="H195" s="1"/>
      <c r="I195" s="1"/>
    </row>
    <row r="196" spans="4:9" ht="14">
      <c r="D196" s="1"/>
      <c r="E196" s="1"/>
      <c r="F196" s="1"/>
      <c r="H196" s="1"/>
      <c r="I196" s="1"/>
    </row>
    <row r="197" spans="4:9" ht="14">
      <c r="D197" s="1"/>
      <c r="E197" s="1"/>
      <c r="F197" s="1"/>
      <c r="H197" s="1"/>
      <c r="I197" s="1"/>
    </row>
    <row r="198" spans="4:9" ht="14">
      <c r="D198" s="1"/>
      <c r="E198" s="1"/>
      <c r="F198" s="1"/>
      <c r="H198" s="1"/>
      <c r="I198" s="1"/>
    </row>
    <row r="199" spans="4:9" ht="14">
      <c r="D199" s="1"/>
      <c r="E199" s="1"/>
      <c r="F199" s="1"/>
      <c r="H199" s="1"/>
      <c r="I199" s="1"/>
    </row>
    <row r="200" spans="4:9" ht="14">
      <c r="D200" s="1"/>
      <c r="E200" s="1"/>
      <c r="F200" s="1"/>
      <c r="H200" s="1"/>
      <c r="I200" s="1"/>
    </row>
    <row r="201" spans="4:9" ht="14">
      <c r="D201" s="1"/>
      <c r="E201" s="1"/>
      <c r="F201" s="1"/>
      <c r="H201" s="1"/>
      <c r="I201" s="1"/>
    </row>
    <row r="202" spans="4:9" ht="14">
      <c r="D202" s="1"/>
      <c r="E202" s="1"/>
      <c r="F202" s="1"/>
      <c r="H202" s="1"/>
      <c r="I202" s="1"/>
    </row>
    <row r="203" spans="4:9" ht="14">
      <c r="D203" s="1"/>
      <c r="E203" s="1"/>
      <c r="F203" s="1"/>
      <c r="H203" s="1"/>
      <c r="I203" s="1"/>
    </row>
    <row r="204" spans="4:9" ht="14">
      <c r="D204" s="1"/>
      <c r="E204" s="1"/>
      <c r="F204" s="1"/>
      <c r="H204" s="1"/>
      <c r="I204" s="1"/>
    </row>
    <row r="205" spans="4:9" ht="14">
      <c r="D205" s="1"/>
      <c r="E205" s="1"/>
      <c r="F205" s="1"/>
      <c r="H205" s="1"/>
      <c r="I205" s="1"/>
    </row>
    <row r="206" spans="4:9" ht="14">
      <c r="D206" s="1"/>
      <c r="E206" s="1"/>
      <c r="F206" s="1"/>
      <c r="H206" s="1"/>
      <c r="I206" s="1"/>
    </row>
    <row r="207" spans="4:9" ht="14">
      <c r="D207" s="1"/>
      <c r="E207" s="1"/>
      <c r="F207" s="1"/>
      <c r="H207" s="1"/>
      <c r="I207" s="1"/>
    </row>
    <row r="208" spans="4:9" ht="14">
      <c r="D208" s="1"/>
      <c r="E208" s="1"/>
      <c r="F208" s="1"/>
      <c r="H208" s="1"/>
      <c r="I208" s="1"/>
    </row>
    <row r="209" spans="4:9" ht="14">
      <c r="D209" s="1"/>
      <c r="E209" s="1"/>
      <c r="F209" s="1"/>
      <c r="H209" s="1"/>
      <c r="I209" s="1"/>
    </row>
    <row r="210" spans="4:9" ht="14">
      <c r="D210" s="1"/>
      <c r="E210" s="1"/>
      <c r="F210" s="1"/>
      <c r="H210" s="1"/>
      <c r="I210" s="1"/>
    </row>
    <row r="211" spans="4:9" ht="14">
      <c r="D211" s="1"/>
      <c r="E211" s="1"/>
      <c r="F211" s="1"/>
      <c r="H211" s="1"/>
      <c r="I211" s="1"/>
    </row>
    <row r="212" spans="4:9" ht="14">
      <c r="D212" s="1"/>
      <c r="E212" s="1"/>
      <c r="F212" s="1"/>
      <c r="H212" s="1"/>
      <c r="I212" s="1"/>
    </row>
    <row r="213" spans="4:9" ht="14">
      <c r="D213" s="1"/>
      <c r="E213" s="1"/>
      <c r="F213" s="1"/>
      <c r="H213" s="1"/>
      <c r="I213" s="1"/>
    </row>
    <row r="214" spans="4:9" ht="14">
      <c r="D214" s="1"/>
      <c r="E214" s="1"/>
      <c r="F214" s="1"/>
      <c r="H214" s="1"/>
      <c r="I214" s="1"/>
    </row>
    <row r="215" spans="4:9" ht="14">
      <c r="D215" s="1"/>
      <c r="E215" s="1"/>
      <c r="F215" s="1"/>
      <c r="H215" s="1"/>
      <c r="I215" s="1"/>
    </row>
    <row r="216" spans="4:9" ht="14">
      <c r="D216" s="1"/>
      <c r="E216" s="1"/>
      <c r="F216" s="1"/>
      <c r="H216" s="1"/>
      <c r="I216" s="1"/>
    </row>
    <row r="217" spans="4:9" ht="14">
      <c r="D217" s="1"/>
      <c r="E217" s="1"/>
      <c r="F217" s="1"/>
      <c r="H217" s="1"/>
      <c r="I217" s="1"/>
    </row>
    <row r="218" spans="4:9" ht="14">
      <c r="D218" s="1"/>
      <c r="E218" s="1"/>
      <c r="F218" s="1"/>
      <c r="H218" s="1"/>
      <c r="I218" s="1"/>
    </row>
    <row r="219" spans="4:9" ht="14">
      <c r="D219" s="1"/>
      <c r="E219" s="1"/>
      <c r="F219" s="1"/>
      <c r="H219" s="1"/>
      <c r="I219" s="1"/>
    </row>
    <row r="220" spans="4:9" ht="14">
      <c r="D220" s="1"/>
      <c r="E220" s="1"/>
      <c r="F220" s="1"/>
      <c r="H220" s="1"/>
      <c r="I220" s="1"/>
    </row>
    <row r="221" spans="4:9" ht="14">
      <c r="D221" s="1"/>
      <c r="E221" s="1"/>
      <c r="F221" s="1"/>
      <c r="H221" s="1"/>
      <c r="I221" s="1"/>
    </row>
    <row r="222" spans="4:9" ht="14">
      <c r="D222" s="1"/>
      <c r="E222" s="1"/>
      <c r="F222" s="1"/>
      <c r="H222" s="1"/>
      <c r="I222" s="1"/>
    </row>
    <row r="223" spans="4:9" ht="14">
      <c r="D223" s="1"/>
      <c r="E223" s="1"/>
      <c r="F223" s="1"/>
      <c r="H223" s="1"/>
      <c r="I223" s="1"/>
    </row>
    <row r="224" spans="4:9" ht="14">
      <c r="D224" s="1"/>
      <c r="E224" s="1"/>
      <c r="F224" s="1"/>
      <c r="H224" s="1"/>
      <c r="I224" s="1"/>
    </row>
    <row r="225" spans="4:9" ht="14">
      <c r="D225" s="1"/>
      <c r="E225" s="1"/>
      <c r="F225" s="1"/>
      <c r="H225" s="1"/>
      <c r="I225" s="1"/>
    </row>
    <row r="226" spans="4:9" ht="14">
      <c r="D226" s="1"/>
      <c r="E226" s="1"/>
      <c r="F226" s="1"/>
      <c r="H226" s="1"/>
      <c r="I226" s="1"/>
    </row>
    <row r="227" spans="4:9" ht="14">
      <c r="D227" s="1"/>
      <c r="E227" s="1"/>
      <c r="F227" s="1"/>
      <c r="H227" s="1"/>
      <c r="I227" s="1"/>
    </row>
    <row r="228" spans="4:9" ht="14">
      <c r="D228" s="1"/>
      <c r="E228" s="1"/>
      <c r="F228" s="1"/>
      <c r="H228" s="1"/>
      <c r="I228" s="1"/>
    </row>
    <row r="229" spans="4:9" ht="14">
      <c r="D229" s="1"/>
      <c r="E229" s="1"/>
      <c r="F229" s="1"/>
      <c r="H229" s="1"/>
      <c r="I229" s="1"/>
    </row>
    <row r="230" spans="4:9" ht="14">
      <c r="D230" s="1"/>
      <c r="E230" s="1"/>
      <c r="F230" s="1"/>
      <c r="H230" s="1"/>
      <c r="I230" s="1"/>
    </row>
    <row r="231" spans="4:9" ht="14">
      <c r="D231" s="1"/>
      <c r="E231" s="1"/>
      <c r="F231" s="1"/>
      <c r="H231" s="1"/>
      <c r="I231" s="1"/>
    </row>
    <row r="232" spans="4:9" ht="14">
      <c r="D232" s="1"/>
      <c r="E232" s="1"/>
      <c r="F232" s="1"/>
      <c r="H232" s="1"/>
      <c r="I232" s="1"/>
    </row>
    <row r="233" spans="4:9" ht="14">
      <c r="D233" s="1"/>
      <c r="E233" s="1"/>
      <c r="F233" s="1"/>
      <c r="H233" s="1"/>
      <c r="I233" s="1"/>
    </row>
    <row r="234" spans="4:9" ht="14">
      <c r="D234" s="1"/>
      <c r="E234" s="1"/>
      <c r="F234" s="1"/>
      <c r="H234" s="1"/>
      <c r="I234" s="1"/>
    </row>
    <row r="235" spans="4:9" ht="14">
      <c r="D235" s="1"/>
      <c r="E235" s="1"/>
      <c r="F235" s="1"/>
      <c r="H235" s="1"/>
      <c r="I235" s="1"/>
    </row>
    <row r="236" spans="4:9" ht="14">
      <c r="D236" s="1"/>
      <c r="E236" s="1"/>
      <c r="F236" s="1"/>
      <c r="H236" s="1"/>
      <c r="I236" s="1"/>
    </row>
    <row r="237" spans="4:9" ht="14">
      <c r="D237" s="1"/>
      <c r="E237" s="1"/>
      <c r="F237" s="1"/>
      <c r="H237" s="1"/>
      <c r="I237" s="1"/>
    </row>
    <row r="238" spans="4:9" ht="14">
      <c r="D238" s="1"/>
      <c r="E238" s="1"/>
      <c r="F238" s="1"/>
      <c r="H238" s="1"/>
      <c r="I238" s="1"/>
    </row>
    <row r="239" spans="4:9" ht="14">
      <c r="D239" s="1"/>
      <c r="E239" s="1"/>
      <c r="F239" s="1"/>
      <c r="H239" s="1"/>
      <c r="I239" s="1"/>
    </row>
    <row r="240" spans="4:9" ht="14">
      <c r="D240" s="1"/>
      <c r="E240" s="1"/>
      <c r="F240" s="1"/>
      <c r="H240" s="1"/>
      <c r="I240" s="1"/>
    </row>
    <row r="241" spans="4:9" ht="14">
      <c r="D241" s="1"/>
      <c r="E241" s="1"/>
      <c r="F241" s="1"/>
      <c r="H241" s="1"/>
      <c r="I241" s="1"/>
    </row>
    <row r="242" spans="4:9" ht="14">
      <c r="D242" s="1"/>
      <c r="E242" s="1"/>
      <c r="F242" s="1"/>
      <c r="H242" s="1"/>
      <c r="I242" s="1"/>
    </row>
    <row r="243" spans="4:9" ht="14">
      <c r="D243" s="1"/>
      <c r="E243" s="1"/>
      <c r="F243" s="1"/>
      <c r="H243" s="1"/>
      <c r="I243" s="1"/>
    </row>
    <row r="244" spans="4:9" ht="14">
      <c r="D244" s="1"/>
      <c r="E244" s="1"/>
      <c r="F244" s="1"/>
      <c r="H244" s="1"/>
      <c r="I244" s="1"/>
    </row>
    <row r="245" spans="4:9" ht="14">
      <c r="D245" s="1"/>
      <c r="E245" s="1"/>
      <c r="F245" s="1"/>
      <c r="H245" s="1"/>
      <c r="I245" s="1"/>
    </row>
    <row r="246" spans="4:9" ht="14">
      <c r="D246" s="1"/>
      <c r="E246" s="1"/>
      <c r="F246" s="1"/>
      <c r="H246" s="1"/>
      <c r="I246" s="1"/>
    </row>
    <row r="247" spans="4:9" ht="14">
      <c r="D247" s="1"/>
      <c r="E247" s="1"/>
      <c r="F247" s="1"/>
      <c r="H247" s="1"/>
      <c r="I247" s="1"/>
    </row>
    <row r="248" spans="4:9" ht="14">
      <c r="D248" s="1"/>
      <c r="E248" s="1"/>
      <c r="F248" s="1"/>
      <c r="H248" s="1"/>
      <c r="I248" s="1"/>
    </row>
    <row r="249" spans="4:9" ht="14">
      <c r="D249" s="1"/>
      <c r="E249" s="1"/>
      <c r="F249" s="1"/>
      <c r="H249" s="1"/>
      <c r="I249" s="1"/>
    </row>
    <row r="250" spans="4:9" ht="14">
      <c r="D250" s="1"/>
      <c r="E250" s="1"/>
      <c r="F250" s="1"/>
      <c r="H250" s="1"/>
      <c r="I250" s="1"/>
    </row>
    <row r="251" spans="4:9" ht="14">
      <c r="D251" s="1"/>
      <c r="E251" s="1"/>
      <c r="F251" s="1"/>
      <c r="H251" s="1"/>
      <c r="I251" s="1"/>
    </row>
    <row r="252" spans="4:9" ht="14">
      <c r="D252" s="1"/>
      <c r="E252" s="1"/>
      <c r="F252" s="1"/>
      <c r="H252" s="1"/>
      <c r="I252" s="1"/>
    </row>
    <row r="253" spans="4:9" ht="14">
      <c r="D253" s="1"/>
      <c r="E253" s="1"/>
      <c r="F253" s="1"/>
      <c r="H253" s="1"/>
      <c r="I253" s="1"/>
    </row>
    <row r="254" spans="4:9" ht="14">
      <c r="D254" s="1"/>
      <c r="E254" s="1"/>
      <c r="F254" s="1"/>
      <c r="H254" s="1"/>
      <c r="I254" s="1"/>
    </row>
    <row r="255" spans="4:9" ht="14">
      <c r="D255" s="1"/>
      <c r="E255" s="1"/>
      <c r="F255" s="1"/>
      <c r="H255" s="1"/>
      <c r="I255" s="1"/>
    </row>
    <row r="256" spans="4:9" ht="14">
      <c r="D256" s="1"/>
      <c r="E256" s="1"/>
      <c r="F256" s="1"/>
      <c r="H256" s="1"/>
      <c r="I256" s="1"/>
    </row>
    <row r="257" spans="4:9" ht="14">
      <c r="D257" s="1"/>
      <c r="E257" s="1"/>
      <c r="F257" s="1"/>
      <c r="H257" s="1"/>
      <c r="I257" s="1"/>
    </row>
    <row r="258" spans="4:9" ht="14">
      <c r="D258" s="1"/>
      <c r="E258" s="1"/>
      <c r="F258" s="1"/>
      <c r="H258" s="1"/>
      <c r="I258" s="1"/>
    </row>
    <row r="259" spans="4:9" ht="14">
      <c r="D259" s="1"/>
      <c r="E259" s="1"/>
      <c r="F259" s="1"/>
      <c r="H259" s="1"/>
      <c r="I259" s="1"/>
    </row>
    <row r="260" spans="4:9" ht="14">
      <c r="D260" s="1"/>
      <c r="E260" s="1"/>
      <c r="F260" s="1"/>
      <c r="H260" s="1"/>
      <c r="I260" s="1"/>
    </row>
    <row r="261" spans="4:9" ht="14">
      <c r="D261" s="1"/>
      <c r="E261" s="1"/>
      <c r="F261" s="1"/>
      <c r="H261" s="1"/>
      <c r="I261" s="1"/>
    </row>
    <row r="262" spans="4:9" ht="14">
      <c r="D262" s="1"/>
      <c r="E262" s="1"/>
      <c r="F262" s="1"/>
      <c r="H262" s="1"/>
      <c r="I262" s="1"/>
    </row>
    <row r="263" spans="4:9" ht="14">
      <c r="D263" s="1"/>
      <c r="E263" s="1"/>
      <c r="F263" s="1"/>
      <c r="H263" s="1"/>
      <c r="I263" s="1"/>
    </row>
    <row r="264" spans="4:9" ht="14">
      <c r="D264" s="1"/>
      <c r="E264" s="1"/>
      <c r="F264" s="1"/>
      <c r="H264" s="1"/>
      <c r="I264" s="1"/>
    </row>
    <row r="265" spans="4:9" ht="14">
      <c r="D265" s="1"/>
      <c r="E265" s="1"/>
      <c r="F265" s="1"/>
      <c r="H265" s="1"/>
      <c r="I265" s="1"/>
    </row>
    <row r="266" spans="4:9" ht="14">
      <c r="D266" s="1"/>
      <c r="E266" s="1"/>
      <c r="F266" s="1"/>
      <c r="H266" s="1"/>
      <c r="I266" s="1"/>
    </row>
    <row r="267" spans="4:9" ht="14">
      <c r="D267" s="1"/>
      <c r="E267" s="1"/>
      <c r="F267" s="1"/>
      <c r="H267" s="1"/>
      <c r="I267" s="1"/>
    </row>
    <row r="268" spans="4:9" ht="14">
      <c r="D268" s="1"/>
      <c r="E268" s="1"/>
      <c r="F268" s="1"/>
      <c r="H268" s="1"/>
      <c r="I268" s="1"/>
    </row>
    <row r="269" spans="4:9" ht="14">
      <c r="D269" s="1"/>
      <c r="E269" s="1"/>
      <c r="F269" s="1"/>
      <c r="H269" s="1"/>
      <c r="I269" s="1"/>
    </row>
    <row r="270" spans="4:9" ht="14">
      <c r="D270" s="1"/>
      <c r="E270" s="1"/>
      <c r="F270" s="1"/>
      <c r="H270" s="1"/>
      <c r="I270" s="1"/>
    </row>
    <row r="271" spans="4:9" ht="14">
      <c r="D271" s="1"/>
      <c r="E271" s="1"/>
      <c r="F271" s="1"/>
      <c r="H271" s="1"/>
      <c r="I271" s="1"/>
    </row>
    <row r="272" spans="4:9" ht="14">
      <c r="D272" s="1"/>
      <c r="E272" s="1"/>
      <c r="F272" s="1"/>
      <c r="H272" s="1"/>
      <c r="I272" s="1"/>
    </row>
    <row r="273" spans="4:9" ht="14">
      <c r="D273" s="1"/>
      <c r="E273" s="1"/>
      <c r="F273" s="1"/>
      <c r="H273" s="1"/>
      <c r="I273" s="1"/>
    </row>
    <row r="274" spans="4:9" ht="14">
      <c r="D274" s="1"/>
      <c r="E274" s="1"/>
      <c r="F274" s="1"/>
      <c r="H274" s="1"/>
      <c r="I274" s="1"/>
    </row>
    <row r="275" spans="4:9" ht="14">
      <c r="D275" s="1"/>
      <c r="E275" s="1"/>
      <c r="F275" s="1"/>
      <c r="H275" s="1"/>
      <c r="I275" s="1"/>
    </row>
    <row r="276" spans="4:9" ht="14">
      <c r="D276" s="1"/>
      <c r="E276" s="1"/>
      <c r="F276" s="1"/>
      <c r="H276" s="1"/>
      <c r="I276" s="1"/>
    </row>
    <row r="277" spans="4:9" ht="14">
      <c r="D277" s="1"/>
      <c r="E277" s="1"/>
      <c r="F277" s="1"/>
      <c r="H277" s="1"/>
      <c r="I277" s="1"/>
    </row>
    <row r="278" spans="4:9" ht="14">
      <c r="D278" s="1"/>
      <c r="E278" s="1"/>
      <c r="F278" s="1"/>
      <c r="H278" s="1"/>
      <c r="I278" s="1"/>
    </row>
    <row r="279" spans="4:9" ht="14">
      <c r="D279" s="1"/>
      <c r="E279" s="1"/>
      <c r="F279" s="1"/>
      <c r="H279" s="1"/>
      <c r="I279" s="1"/>
    </row>
    <row r="280" spans="4:9" ht="14">
      <c r="D280" s="1"/>
      <c r="E280" s="1"/>
      <c r="F280" s="1"/>
      <c r="H280" s="1"/>
      <c r="I280" s="1"/>
    </row>
    <row r="281" spans="4:9" ht="14">
      <c r="D281" s="1"/>
      <c r="E281" s="1"/>
      <c r="F281" s="1"/>
      <c r="H281" s="1"/>
      <c r="I281" s="1"/>
    </row>
    <row r="282" spans="4:9" ht="14">
      <c r="D282" s="1"/>
      <c r="E282" s="1"/>
      <c r="F282" s="1"/>
      <c r="H282" s="1"/>
      <c r="I282" s="1"/>
    </row>
    <row r="283" spans="4:9" ht="14">
      <c r="D283" s="1"/>
      <c r="E283" s="1"/>
      <c r="F283" s="1"/>
      <c r="H283" s="1"/>
      <c r="I283" s="1"/>
    </row>
    <row r="284" spans="4:9" ht="14">
      <c r="D284" s="1"/>
      <c r="E284" s="1"/>
      <c r="F284" s="1"/>
      <c r="H284" s="1"/>
      <c r="I284" s="1"/>
    </row>
    <row r="285" spans="4:9" ht="14">
      <c r="D285" s="1"/>
      <c r="E285" s="1"/>
      <c r="F285" s="1"/>
      <c r="H285" s="1"/>
      <c r="I285" s="1"/>
    </row>
    <row r="286" spans="4:9" ht="14">
      <c r="D286" s="1"/>
      <c r="E286" s="1"/>
      <c r="F286" s="1"/>
      <c r="H286" s="1"/>
      <c r="I286" s="1"/>
    </row>
    <row r="287" spans="4:9" ht="14">
      <c r="D287" s="1"/>
      <c r="E287" s="1"/>
      <c r="F287" s="1"/>
      <c r="H287" s="1"/>
      <c r="I287" s="1"/>
    </row>
    <row r="288" spans="4:9" ht="14">
      <c r="D288" s="1"/>
      <c r="E288" s="1"/>
      <c r="F288" s="1"/>
      <c r="H288" s="1"/>
      <c r="I288" s="1"/>
    </row>
    <row r="289" spans="4:9" ht="14">
      <c r="D289" s="1"/>
      <c r="E289" s="1"/>
      <c r="F289" s="1"/>
      <c r="H289" s="1"/>
      <c r="I289" s="1"/>
    </row>
    <row r="290" spans="4:9" ht="14">
      <c r="D290" s="1"/>
      <c r="E290" s="1"/>
      <c r="F290" s="1"/>
      <c r="H290" s="1"/>
      <c r="I290" s="1"/>
    </row>
    <row r="291" spans="4:9" ht="14">
      <c r="D291" s="1"/>
      <c r="E291" s="1"/>
      <c r="F291" s="1"/>
      <c r="H291" s="1"/>
      <c r="I291" s="1"/>
    </row>
    <row r="292" spans="4:9" ht="14">
      <c r="D292" s="1"/>
      <c r="E292" s="1"/>
      <c r="F292" s="1"/>
      <c r="H292" s="1"/>
      <c r="I292" s="1"/>
    </row>
    <row r="293" spans="4:9" ht="14">
      <c r="D293" s="1"/>
      <c r="E293" s="1"/>
      <c r="F293" s="1"/>
      <c r="H293" s="1"/>
      <c r="I293" s="1"/>
    </row>
    <row r="294" spans="4:9" ht="14">
      <c r="D294" s="1"/>
      <c r="E294" s="1"/>
      <c r="F294" s="1"/>
      <c r="H294" s="1"/>
      <c r="I294" s="1"/>
    </row>
    <row r="295" spans="4:9" ht="14">
      <c r="D295" s="1"/>
      <c r="E295" s="1"/>
      <c r="F295" s="1"/>
      <c r="H295" s="1"/>
      <c r="I295" s="1"/>
    </row>
    <row r="296" spans="4:9" ht="14">
      <c r="D296" s="1"/>
      <c r="E296" s="1"/>
      <c r="F296" s="1"/>
      <c r="H296" s="1"/>
      <c r="I296" s="1"/>
    </row>
    <row r="297" spans="4:9" ht="14">
      <c r="D297" s="1"/>
      <c r="E297" s="1"/>
      <c r="F297" s="1"/>
      <c r="H297" s="1"/>
      <c r="I297" s="1"/>
    </row>
    <row r="298" spans="4:9" ht="14">
      <c r="D298" s="1"/>
      <c r="E298" s="1"/>
      <c r="F298" s="1"/>
      <c r="H298" s="1"/>
      <c r="I298" s="1"/>
    </row>
    <row r="299" spans="4:9" ht="14">
      <c r="D299" s="1"/>
      <c r="E299" s="1"/>
      <c r="F299" s="1"/>
      <c r="H299" s="1"/>
      <c r="I299" s="1"/>
    </row>
    <row r="300" spans="4:9" ht="14">
      <c r="D300" s="1"/>
      <c r="E300" s="1"/>
      <c r="F300" s="1"/>
      <c r="H300" s="1"/>
      <c r="I300" s="1"/>
    </row>
    <row r="301" spans="4:9" ht="14">
      <c r="D301" s="1"/>
      <c r="E301" s="1"/>
      <c r="F301" s="1"/>
      <c r="H301" s="1"/>
      <c r="I301" s="1"/>
    </row>
    <row r="302" spans="4:9" ht="14">
      <c r="D302" s="1"/>
      <c r="E302" s="1"/>
      <c r="F302" s="1"/>
      <c r="H302" s="1"/>
      <c r="I302" s="1"/>
    </row>
    <row r="303" spans="4:9" ht="14">
      <c r="D303" s="1"/>
      <c r="E303" s="1"/>
      <c r="F303" s="1"/>
      <c r="H303" s="1"/>
      <c r="I303" s="1"/>
    </row>
    <row r="304" spans="4:9" ht="14">
      <c r="D304" s="1"/>
      <c r="E304" s="1"/>
      <c r="F304" s="1"/>
      <c r="H304" s="1"/>
      <c r="I304" s="1"/>
    </row>
    <row r="305" spans="4:9" ht="14">
      <c r="D305" s="1"/>
      <c r="E305" s="1"/>
      <c r="F305" s="1"/>
      <c r="H305" s="1"/>
      <c r="I305" s="1"/>
    </row>
    <row r="306" spans="4:9" ht="14">
      <c r="D306" s="1"/>
      <c r="E306" s="1"/>
      <c r="F306" s="1"/>
      <c r="H306" s="1"/>
      <c r="I306" s="1"/>
    </row>
    <row r="307" spans="4:9" ht="14">
      <c r="D307" s="1"/>
      <c r="E307" s="1"/>
      <c r="F307" s="1"/>
      <c r="H307" s="1"/>
      <c r="I307" s="1"/>
    </row>
    <row r="308" spans="4:9" ht="14">
      <c r="D308" s="1"/>
      <c r="E308" s="1"/>
      <c r="F308" s="1"/>
      <c r="H308" s="1"/>
      <c r="I308" s="1"/>
    </row>
    <row r="309" spans="4:9" ht="14">
      <c r="D309" s="1"/>
      <c r="E309" s="1"/>
      <c r="F309" s="1"/>
      <c r="H309" s="1"/>
      <c r="I309" s="1"/>
    </row>
    <row r="310" spans="4:9" ht="14">
      <c r="D310" s="1"/>
      <c r="E310" s="1"/>
      <c r="F310" s="1"/>
      <c r="H310" s="1"/>
      <c r="I310" s="1"/>
    </row>
    <row r="311" spans="4:9" ht="14">
      <c r="D311" s="1"/>
      <c r="E311" s="1"/>
      <c r="F311" s="1"/>
      <c r="H311" s="1"/>
      <c r="I311" s="1"/>
    </row>
    <row r="312" spans="4:9" ht="14">
      <c r="D312" s="1"/>
      <c r="E312" s="1"/>
      <c r="F312" s="1"/>
      <c r="H312" s="1"/>
      <c r="I312" s="1"/>
    </row>
    <row r="313" spans="4:9" ht="14">
      <c r="D313" s="1"/>
      <c r="E313" s="1"/>
      <c r="F313" s="1"/>
      <c r="H313" s="1"/>
      <c r="I313" s="1"/>
    </row>
    <row r="314" spans="4:9" ht="14">
      <c r="D314" s="1"/>
      <c r="E314" s="1"/>
      <c r="F314" s="1"/>
      <c r="H314" s="1"/>
      <c r="I314" s="1"/>
    </row>
    <row r="315" spans="4:9" ht="14">
      <c r="D315" s="1"/>
      <c r="E315" s="1"/>
      <c r="F315" s="1"/>
      <c r="H315" s="1"/>
      <c r="I315" s="1"/>
    </row>
    <row r="316" spans="4:9" ht="14">
      <c r="D316" s="1"/>
      <c r="E316" s="1"/>
      <c r="F316" s="1"/>
      <c r="H316" s="1"/>
      <c r="I316" s="1"/>
    </row>
    <row r="317" spans="4:9" ht="14">
      <c r="D317" s="1"/>
      <c r="E317" s="1"/>
      <c r="F317" s="1"/>
      <c r="H317" s="1"/>
      <c r="I317" s="1"/>
    </row>
    <row r="318" spans="4:9" ht="14">
      <c r="D318" s="1"/>
      <c r="E318" s="1"/>
      <c r="F318" s="1"/>
      <c r="H318" s="1"/>
      <c r="I318" s="1"/>
    </row>
    <row r="319" spans="4:9" ht="14">
      <c r="D319" s="1"/>
      <c r="E319" s="1"/>
      <c r="F319" s="1"/>
      <c r="H319" s="1"/>
      <c r="I319" s="1"/>
    </row>
    <row r="320" spans="4:9" ht="14">
      <c r="D320" s="1"/>
      <c r="E320" s="1"/>
      <c r="F320" s="1"/>
      <c r="H320" s="1"/>
      <c r="I320" s="1"/>
    </row>
    <row r="321" spans="4:9" ht="14">
      <c r="D321" s="1"/>
      <c r="E321" s="1"/>
      <c r="F321" s="1"/>
      <c r="H321" s="1"/>
      <c r="I321" s="1"/>
    </row>
    <row r="322" spans="4:9" ht="14">
      <c r="D322" s="1"/>
      <c r="E322" s="1"/>
      <c r="F322" s="1"/>
      <c r="H322" s="1"/>
      <c r="I322" s="1"/>
    </row>
    <row r="323" spans="4:9" ht="14">
      <c r="D323" s="1"/>
      <c r="E323" s="1"/>
      <c r="F323" s="1"/>
      <c r="H323" s="1"/>
      <c r="I323" s="1"/>
    </row>
    <row r="324" spans="4:9" ht="14">
      <c r="D324" s="1"/>
      <c r="E324" s="1"/>
      <c r="F324" s="1"/>
      <c r="H324" s="1"/>
      <c r="I324" s="1"/>
    </row>
    <row r="325" spans="4:9" ht="14">
      <c r="D325" s="1"/>
      <c r="E325" s="1"/>
      <c r="F325" s="1"/>
      <c r="H325" s="1"/>
      <c r="I325" s="1"/>
    </row>
    <row r="326" spans="4:9" ht="14">
      <c r="D326" s="1"/>
      <c r="E326" s="1"/>
      <c r="F326" s="1"/>
      <c r="H326" s="1"/>
      <c r="I326" s="1"/>
    </row>
    <row r="327" spans="4:9" ht="14">
      <c r="D327" s="1"/>
      <c r="E327" s="1"/>
      <c r="F327" s="1"/>
      <c r="H327" s="1"/>
      <c r="I327" s="1"/>
    </row>
    <row r="328" spans="4:9" ht="14">
      <c r="D328" s="1"/>
      <c r="E328" s="1"/>
      <c r="F328" s="1"/>
      <c r="H328" s="1"/>
      <c r="I328" s="1"/>
    </row>
    <row r="329" spans="4:9" ht="14">
      <c r="D329" s="1"/>
      <c r="E329" s="1"/>
      <c r="F329" s="1"/>
      <c r="H329" s="1"/>
      <c r="I329" s="1"/>
    </row>
    <row r="330" spans="4:9" ht="14">
      <c r="D330" s="1"/>
      <c r="E330" s="1"/>
      <c r="F330" s="1"/>
      <c r="H330" s="1"/>
      <c r="I330" s="1"/>
    </row>
    <row r="331" spans="4:9" ht="14">
      <c r="D331" s="1"/>
      <c r="E331" s="1"/>
      <c r="F331" s="1"/>
      <c r="H331" s="1"/>
      <c r="I331" s="1"/>
    </row>
    <row r="332" spans="4:9" ht="14">
      <c r="D332" s="1"/>
      <c r="E332" s="1"/>
      <c r="F332" s="1"/>
      <c r="H332" s="1"/>
      <c r="I332" s="1"/>
    </row>
    <row r="333" spans="4:9" ht="14">
      <c r="D333" s="1"/>
      <c r="E333" s="1"/>
      <c r="F333" s="1"/>
      <c r="H333" s="1"/>
      <c r="I333" s="1"/>
    </row>
    <row r="334" spans="4:9" ht="14">
      <c r="D334" s="1"/>
      <c r="E334" s="1"/>
      <c r="F334" s="1"/>
      <c r="H334" s="1"/>
      <c r="I334" s="1"/>
    </row>
    <row r="335" spans="4:9" ht="14">
      <c r="D335" s="1"/>
      <c r="E335" s="1"/>
      <c r="F335" s="1"/>
      <c r="H335" s="1"/>
      <c r="I335" s="1"/>
    </row>
    <row r="336" spans="4:9" ht="14">
      <c r="D336" s="1"/>
      <c r="E336" s="1"/>
      <c r="F336" s="1"/>
      <c r="H336" s="1"/>
      <c r="I336" s="1"/>
    </row>
    <row r="337" spans="4:9" ht="14">
      <c r="D337" s="1"/>
      <c r="E337" s="1"/>
      <c r="F337" s="1"/>
      <c r="H337" s="1"/>
      <c r="I337" s="1"/>
    </row>
    <row r="338" spans="4:9" ht="14">
      <c r="D338" s="1"/>
      <c r="E338" s="1"/>
      <c r="F338" s="1"/>
      <c r="H338" s="1"/>
      <c r="I338" s="1"/>
    </row>
    <row r="339" spans="4:9" ht="14">
      <c r="D339" s="1"/>
      <c r="E339" s="1"/>
      <c r="F339" s="1"/>
      <c r="H339" s="1"/>
      <c r="I339" s="1"/>
    </row>
    <row r="340" spans="4:9" ht="14">
      <c r="D340" s="1"/>
      <c r="E340" s="1"/>
      <c r="F340" s="1"/>
      <c r="H340" s="1"/>
      <c r="I340" s="1"/>
    </row>
    <row r="341" spans="4:9" ht="14">
      <c r="D341" s="1"/>
      <c r="E341" s="1"/>
      <c r="F341" s="1"/>
      <c r="H341" s="1"/>
      <c r="I341" s="1"/>
    </row>
    <row r="342" spans="4:9" ht="14">
      <c r="D342" s="1"/>
      <c r="E342" s="1"/>
      <c r="F342" s="1"/>
      <c r="H342" s="1"/>
      <c r="I342" s="1"/>
    </row>
    <row r="343" spans="4:9" ht="14">
      <c r="D343" s="1"/>
      <c r="E343" s="1"/>
      <c r="F343" s="1"/>
      <c r="H343" s="1"/>
      <c r="I343" s="1"/>
    </row>
    <row r="344" spans="4:9" ht="14">
      <c r="D344" s="1"/>
      <c r="E344" s="1"/>
      <c r="F344" s="1"/>
      <c r="H344" s="1"/>
      <c r="I344" s="1"/>
    </row>
    <row r="345" spans="4:9" ht="14">
      <c r="D345" s="1"/>
      <c r="E345" s="1"/>
      <c r="F345" s="1"/>
      <c r="H345" s="1"/>
      <c r="I345" s="1"/>
    </row>
    <row r="346" spans="4:9" ht="14">
      <c r="D346" s="1"/>
      <c r="E346" s="1"/>
      <c r="F346" s="1"/>
      <c r="H346" s="1"/>
      <c r="I346" s="1"/>
    </row>
    <row r="347" spans="4:9" ht="14">
      <c r="D347" s="1"/>
      <c r="E347" s="1"/>
      <c r="F347" s="1"/>
      <c r="H347" s="1"/>
      <c r="I347" s="1"/>
    </row>
    <row r="348" spans="4:9" ht="14">
      <c r="D348" s="1"/>
      <c r="E348" s="1"/>
      <c r="F348" s="1"/>
      <c r="H348" s="1"/>
      <c r="I348" s="1"/>
    </row>
    <row r="349" spans="4:9" ht="14">
      <c r="D349" s="1"/>
      <c r="E349" s="1"/>
      <c r="F349" s="1"/>
      <c r="H349" s="1"/>
      <c r="I349" s="1"/>
    </row>
    <row r="350" spans="4:9" ht="14">
      <c r="D350" s="1"/>
      <c r="E350" s="1"/>
      <c r="F350" s="1"/>
      <c r="H350" s="1"/>
      <c r="I350" s="1"/>
    </row>
    <row r="351" spans="4:9" ht="14">
      <c r="D351" s="1"/>
      <c r="E351" s="1"/>
      <c r="F351" s="1"/>
      <c r="H351" s="1"/>
      <c r="I351" s="1"/>
    </row>
    <row r="352" spans="4:9" ht="14">
      <c r="D352" s="1"/>
      <c r="E352" s="1"/>
      <c r="F352" s="1"/>
      <c r="H352" s="1"/>
      <c r="I352" s="1"/>
    </row>
    <row r="353" spans="4:9" ht="14">
      <c r="D353" s="1"/>
      <c r="E353" s="1"/>
      <c r="F353" s="1"/>
      <c r="H353" s="1"/>
      <c r="I353" s="1"/>
    </row>
    <row r="354" spans="4:9" ht="14">
      <c r="D354" s="1"/>
      <c r="E354" s="1"/>
      <c r="F354" s="1"/>
      <c r="H354" s="1"/>
      <c r="I354" s="1"/>
    </row>
    <row r="355" spans="4:9" ht="14">
      <c r="D355" s="1"/>
      <c r="E355" s="1"/>
      <c r="F355" s="1"/>
      <c r="H355" s="1"/>
      <c r="I355" s="1"/>
    </row>
    <row r="356" spans="4:9" ht="14">
      <c r="D356" s="1"/>
      <c r="E356" s="1"/>
      <c r="F356" s="1"/>
      <c r="H356" s="1"/>
      <c r="I356" s="1"/>
    </row>
    <row r="357" spans="4:9" ht="14">
      <c r="D357" s="1"/>
      <c r="E357" s="1"/>
      <c r="F357" s="1"/>
      <c r="H357" s="1"/>
      <c r="I357" s="1"/>
    </row>
    <row r="358" spans="4:9" ht="14">
      <c r="D358" s="1"/>
      <c r="E358" s="1"/>
      <c r="F358" s="1"/>
      <c r="H358" s="1"/>
      <c r="I358" s="1"/>
    </row>
    <row r="359" spans="4:9" ht="14">
      <c r="D359" s="1"/>
      <c r="E359" s="1"/>
      <c r="F359" s="1"/>
      <c r="H359" s="1"/>
      <c r="I359" s="1"/>
    </row>
    <row r="360" spans="4:9" ht="14">
      <c r="D360" s="1"/>
      <c r="E360" s="1"/>
      <c r="F360" s="1"/>
      <c r="H360" s="1"/>
      <c r="I360" s="1"/>
    </row>
    <row r="361" spans="4:9" ht="14">
      <c r="D361" s="1"/>
      <c r="E361" s="1"/>
      <c r="F361" s="1"/>
      <c r="H361" s="1"/>
      <c r="I361" s="1"/>
    </row>
    <row r="362" spans="4:9" ht="14">
      <c r="D362" s="1"/>
      <c r="E362" s="1"/>
      <c r="F362" s="1"/>
      <c r="H362" s="1"/>
      <c r="I362" s="1"/>
    </row>
    <row r="363" spans="4:9" ht="14">
      <c r="D363" s="1"/>
      <c r="E363" s="1"/>
      <c r="F363" s="1"/>
      <c r="H363" s="1"/>
      <c r="I363" s="1"/>
    </row>
    <row r="364" spans="4:9" ht="14">
      <c r="D364" s="1"/>
      <c r="E364" s="1"/>
      <c r="F364" s="1"/>
      <c r="H364" s="1"/>
      <c r="I364" s="1"/>
    </row>
    <row r="365" spans="4:9" ht="14">
      <c r="D365" s="1"/>
      <c r="E365" s="1"/>
      <c r="F365" s="1"/>
      <c r="H365" s="1"/>
      <c r="I365" s="1"/>
    </row>
    <row r="366" spans="4:9" ht="14">
      <c r="D366" s="1"/>
      <c r="E366" s="1"/>
      <c r="F366" s="1"/>
      <c r="H366" s="1"/>
      <c r="I366" s="1"/>
    </row>
    <row r="367" spans="4:9" ht="14">
      <c r="D367" s="1"/>
      <c r="E367" s="1"/>
      <c r="F367" s="1"/>
      <c r="H367" s="1"/>
      <c r="I367" s="1"/>
    </row>
    <row r="368" spans="4:9" ht="14">
      <c r="D368" s="1"/>
      <c r="E368" s="1"/>
      <c r="F368" s="1"/>
      <c r="H368" s="1"/>
      <c r="I368" s="1"/>
    </row>
    <row r="369" spans="4:9" ht="14">
      <c r="D369" s="1"/>
      <c r="E369" s="1"/>
      <c r="F369" s="1"/>
      <c r="H369" s="1"/>
      <c r="I369" s="1"/>
    </row>
    <row r="370" spans="4:9" ht="14">
      <c r="D370" s="1"/>
      <c r="E370" s="1"/>
      <c r="F370" s="1"/>
      <c r="H370" s="1"/>
      <c r="I370" s="1"/>
    </row>
    <row r="371" spans="4:9" ht="14">
      <c r="D371" s="1"/>
      <c r="E371" s="1"/>
      <c r="F371" s="1"/>
      <c r="H371" s="1"/>
      <c r="I371" s="1"/>
    </row>
    <row r="372" spans="4:9" ht="14">
      <c r="D372" s="1"/>
      <c r="E372" s="1"/>
      <c r="F372" s="1"/>
      <c r="H372" s="1"/>
      <c r="I372" s="1"/>
    </row>
    <row r="373" spans="4:9" ht="14">
      <c r="D373" s="1"/>
      <c r="E373" s="1"/>
      <c r="F373" s="1"/>
      <c r="H373" s="1"/>
      <c r="I373" s="1"/>
    </row>
    <row r="374" spans="4:9" ht="14">
      <c r="D374" s="1"/>
      <c r="E374" s="1"/>
      <c r="F374" s="1"/>
      <c r="H374" s="1"/>
      <c r="I374" s="1"/>
    </row>
    <row r="375" spans="4:9" ht="14">
      <c r="D375" s="1"/>
      <c r="E375" s="1"/>
      <c r="F375" s="1"/>
      <c r="H375" s="1"/>
      <c r="I375" s="1"/>
    </row>
    <row r="376" spans="4:9" ht="14">
      <c r="D376" s="1"/>
      <c r="E376" s="1"/>
      <c r="F376" s="1"/>
      <c r="H376" s="1"/>
      <c r="I376" s="1"/>
    </row>
    <row r="377" spans="4:9" ht="14">
      <c r="D377" s="1"/>
      <c r="E377" s="1"/>
      <c r="F377" s="1"/>
      <c r="H377" s="1"/>
      <c r="I377" s="1"/>
    </row>
    <row r="378" spans="4:9" ht="14">
      <c r="D378" s="1"/>
      <c r="E378" s="1"/>
      <c r="F378" s="1"/>
      <c r="H378" s="1"/>
      <c r="I378" s="1"/>
    </row>
    <row r="379" spans="4:9" ht="14">
      <c r="D379" s="1"/>
      <c r="E379" s="1"/>
      <c r="F379" s="1"/>
      <c r="H379" s="1"/>
      <c r="I379" s="1"/>
    </row>
    <row r="380" spans="4:9" ht="14">
      <c r="D380" s="1"/>
      <c r="E380" s="1"/>
      <c r="F380" s="1"/>
      <c r="H380" s="1"/>
      <c r="I380" s="1"/>
    </row>
    <row r="381" spans="4:9" ht="14">
      <c r="D381" s="1"/>
      <c r="E381" s="1"/>
      <c r="F381" s="1"/>
      <c r="H381" s="1"/>
      <c r="I381" s="1"/>
    </row>
    <row r="382" spans="4:9" ht="14">
      <c r="D382" s="1"/>
      <c r="E382" s="1"/>
      <c r="F382" s="1"/>
      <c r="H382" s="1"/>
      <c r="I382" s="1"/>
    </row>
    <row r="383" spans="4:9" ht="14">
      <c r="D383" s="1"/>
      <c r="E383" s="1"/>
      <c r="F383" s="1"/>
      <c r="H383" s="1"/>
      <c r="I383" s="1"/>
    </row>
    <row r="384" spans="4:9" ht="14">
      <c r="D384" s="1"/>
      <c r="E384" s="1"/>
      <c r="F384" s="1"/>
      <c r="H384" s="1"/>
      <c r="I384" s="1"/>
    </row>
    <row r="385" spans="4:9" ht="14">
      <c r="D385" s="1"/>
      <c r="E385" s="1"/>
      <c r="F385" s="1"/>
      <c r="H385" s="1"/>
      <c r="I385" s="1"/>
    </row>
    <row r="386" spans="4:9" ht="14">
      <c r="D386" s="1"/>
      <c r="E386" s="1"/>
      <c r="F386" s="1"/>
      <c r="H386" s="1"/>
      <c r="I386" s="1"/>
    </row>
    <row r="387" spans="4:9" ht="14">
      <c r="D387" s="1"/>
      <c r="E387" s="1"/>
      <c r="F387" s="1"/>
      <c r="H387" s="1"/>
      <c r="I387" s="1"/>
    </row>
    <row r="388" spans="4:9" ht="14">
      <c r="D388" s="1"/>
      <c r="E388" s="1"/>
      <c r="F388" s="1"/>
      <c r="H388" s="1"/>
      <c r="I388" s="1"/>
    </row>
    <row r="389" spans="4:9" ht="14">
      <c r="D389" s="1"/>
      <c r="E389" s="1"/>
      <c r="F389" s="1"/>
      <c r="H389" s="1"/>
      <c r="I389" s="1"/>
    </row>
    <row r="390" spans="4:9" ht="14">
      <c r="D390" s="1"/>
      <c r="E390" s="1"/>
      <c r="F390" s="1"/>
      <c r="H390" s="1"/>
      <c r="I390" s="1"/>
    </row>
    <row r="391" spans="4:9" ht="14">
      <c r="D391" s="1"/>
      <c r="E391" s="1"/>
      <c r="F391" s="1"/>
      <c r="H391" s="1"/>
      <c r="I391" s="1"/>
    </row>
    <row r="392" spans="4:9" ht="14">
      <c r="D392" s="1"/>
      <c r="E392" s="1"/>
      <c r="F392" s="1"/>
      <c r="H392" s="1"/>
      <c r="I392" s="1"/>
    </row>
    <row r="393" spans="4:9" ht="14">
      <c r="D393" s="1"/>
      <c r="E393" s="1"/>
      <c r="F393" s="1"/>
      <c r="H393" s="1"/>
      <c r="I393" s="1"/>
    </row>
    <row r="394" spans="4:9" ht="14">
      <c r="D394" s="1"/>
      <c r="E394" s="1"/>
      <c r="F394" s="1"/>
      <c r="H394" s="1"/>
      <c r="I394" s="1"/>
    </row>
    <row r="395" spans="4:9" ht="14">
      <c r="D395" s="1"/>
      <c r="E395" s="1"/>
      <c r="F395" s="1"/>
      <c r="H395" s="1"/>
      <c r="I395" s="1"/>
    </row>
    <row r="396" spans="4:9" ht="14">
      <c r="D396" s="1"/>
      <c r="E396" s="1"/>
      <c r="F396" s="1"/>
      <c r="H396" s="1"/>
      <c r="I396" s="1"/>
    </row>
    <row r="397" spans="4:9" ht="14">
      <c r="D397" s="1"/>
      <c r="E397" s="1"/>
      <c r="F397" s="1"/>
      <c r="H397" s="1"/>
      <c r="I397" s="1"/>
    </row>
    <row r="398" spans="4:9" ht="14">
      <c r="D398" s="1"/>
      <c r="E398" s="1"/>
      <c r="F398" s="1"/>
      <c r="H398" s="1"/>
      <c r="I398" s="1"/>
    </row>
    <row r="399" spans="4:9" ht="14">
      <c r="D399" s="1"/>
      <c r="E399" s="1"/>
      <c r="F399" s="1"/>
      <c r="H399" s="1"/>
      <c r="I399" s="1"/>
    </row>
    <row r="400" spans="4:9" ht="14">
      <c r="D400" s="1"/>
      <c r="E400" s="1"/>
      <c r="F400" s="1"/>
      <c r="H400" s="1"/>
      <c r="I400" s="1"/>
    </row>
    <row r="401" spans="4:9" ht="14">
      <c r="D401" s="1"/>
      <c r="E401" s="1"/>
      <c r="F401" s="1"/>
      <c r="H401" s="1"/>
      <c r="I401" s="1"/>
    </row>
    <row r="402" spans="4:9" ht="14">
      <c r="D402" s="1"/>
      <c r="E402" s="1"/>
      <c r="F402" s="1"/>
      <c r="H402" s="1"/>
      <c r="I402" s="1"/>
    </row>
    <row r="403" spans="4:9" ht="14">
      <c r="D403" s="1"/>
      <c r="E403" s="1"/>
      <c r="F403" s="1"/>
      <c r="H403" s="1"/>
      <c r="I403" s="1"/>
    </row>
    <row r="404" spans="4:9" ht="14">
      <c r="D404" s="1"/>
      <c r="E404" s="1"/>
      <c r="F404" s="1"/>
      <c r="H404" s="1"/>
      <c r="I404" s="1"/>
    </row>
    <row r="405" spans="4:9" ht="14">
      <c r="D405" s="1"/>
      <c r="E405" s="1"/>
      <c r="F405" s="1"/>
      <c r="H405" s="1"/>
      <c r="I405" s="1"/>
    </row>
    <row r="406" spans="4:9" ht="14">
      <c r="D406" s="1"/>
      <c r="E406" s="1"/>
      <c r="F406" s="1"/>
      <c r="H406" s="1"/>
      <c r="I406" s="1"/>
    </row>
    <row r="407" spans="4:9" ht="14">
      <c r="D407" s="1"/>
      <c r="E407" s="1"/>
      <c r="F407" s="1"/>
      <c r="H407" s="1"/>
      <c r="I407" s="1"/>
    </row>
    <row r="408" spans="4:9" ht="14">
      <c r="D408" s="1"/>
      <c r="E408" s="1"/>
      <c r="F408" s="1"/>
      <c r="H408" s="1"/>
      <c r="I408" s="1"/>
    </row>
    <row r="409" spans="4:9" ht="14">
      <c r="D409" s="1"/>
      <c r="E409" s="1"/>
      <c r="F409" s="1"/>
      <c r="H409" s="1"/>
      <c r="I409" s="1"/>
    </row>
    <row r="410" spans="4:9" ht="14">
      <c r="D410" s="1"/>
      <c r="E410" s="1"/>
      <c r="F410" s="1"/>
      <c r="H410" s="1"/>
      <c r="I410" s="1"/>
    </row>
    <row r="411" spans="4:9" ht="14">
      <c r="D411" s="1"/>
      <c r="E411" s="1"/>
      <c r="F411" s="1"/>
      <c r="H411" s="1"/>
      <c r="I411" s="1"/>
    </row>
    <row r="412" spans="4:9" ht="14">
      <c r="D412" s="1"/>
      <c r="E412" s="1"/>
      <c r="F412" s="1"/>
      <c r="H412" s="1"/>
      <c r="I412" s="1"/>
    </row>
    <row r="413" spans="4:9" ht="14">
      <c r="D413" s="1"/>
      <c r="E413" s="1"/>
      <c r="F413" s="1"/>
      <c r="H413" s="1"/>
      <c r="I413" s="1"/>
    </row>
    <row r="414" spans="4:9" ht="14">
      <c r="D414" s="1"/>
      <c r="E414" s="1"/>
      <c r="F414" s="1"/>
      <c r="H414" s="1"/>
      <c r="I414" s="1"/>
    </row>
    <row r="415" spans="4:9" ht="14">
      <c r="D415" s="1"/>
      <c r="E415" s="1"/>
      <c r="F415" s="1"/>
      <c r="H415" s="1"/>
      <c r="I415" s="1"/>
    </row>
    <row r="416" spans="4:9" ht="14">
      <c r="D416" s="1"/>
      <c r="E416" s="1"/>
      <c r="F416" s="1"/>
      <c r="H416" s="1"/>
      <c r="I416" s="1"/>
    </row>
    <row r="417" spans="4:9" ht="14">
      <c r="D417" s="1"/>
      <c r="E417" s="1"/>
      <c r="F417" s="1"/>
      <c r="H417" s="1"/>
      <c r="I417" s="1"/>
    </row>
    <row r="418" spans="4:9" ht="14">
      <c r="D418" s="1"/>
      <c r="E418" s="1"/>
      <c r="F418" s="1"/>
      <c r="H418" s="1"/>
      <c r="I418" s="1"/>
    </row>
    <row r="419" spans="4:9" ht="14">
      <c r="D419" s="1"/>
      <c r="E419" s="1"/>
      <c r="F419" s="1"/>
      <c r="H419" s="1"/>
      <c r="I419" s="1"/>
    </row>
    <row r="420" spans="4:9" ht="14">
      <c r="D420" s="1"/>
      <c r="E420" s="1"/>
      <c r="F420" s="1"/>
      <c r="H420" s="1"/>
      <c r="I420" s="1"/>
    </row>
    <row r="421" spans="4:9" ht="14">
      <c r="D421" s="1"/>
      <c r="E421" s="1"/>
      <c r="F421" s="1"/>
      <c r="H421" s="1"/>
      <c r="I421" s="1"/>
    </row>
    <row r="422" spans="4:9" ht="14">
      <c r="D422" s="1"/>
      <c r="E422" s="1"/>
      <c r="F422" s="1"/>
      <c r="H422" s="1"/>
      <c r="I422" s="1"/>
    </row>
    <row r="423" spans="4:9" ht="14">
      <c r="D423" s="1"/>
      <c r="E423" s="1"/>
      <c r="F423" s="1"/>
      <c r="H423" s="1"/>
      <c r="I423" s="1"/>
    </row>
    <row r="424" spans="4:9" ht="14">
      <c r="D424" s="1"/>
      <c r="E424" s="1"/>
      <c r="F424" s="1"/>
      <c r="H424" s="1"/>
      <c r="I424" s="1"/>
    </row>
    <row r="425" spans="4:9" ht="14">
      <c r="D425" s="1"/>
      <c r="E425" s="1"/>
      <c r="F425" s="1"/>
      <c r="H425" s="1"/>
      <c r="I425" s="1"/>
    </row>
    <row r="426" spans="4:9" ht="14">
      <c r="D426" s="1"/>
      <c r="E426" s="1"/>
      <c r="F426" s="1"/>
      <c r="H426" s="1"/>
      <c r="I426" s="1"/>
    </row>
    <row r="427" spans="4:9" ht="14">
      <c r="D427" s="1"/>
      <c r="E427" s="1"/>
      <c r="F427" s="1"/>
      <c r="H427" s="1"/>
      <c r="I427" s="1"/>
    </row>
    <row r="428" spans="4:9" ht="14">
      <c r="D428" s="1"/>
      <c r="E428" s="1"/>
      <c r="F428" s="1"/>
      <c r="H428" s="1"/>
      <c r="I428" s="1"/>
    </row>
    <row r="429" spans="4:9" ht="14">
      <c r="D429" s="1"/>
      <c r="E429" s="1"/>
      <c r="F429" s="1"/>
      <c r="H429" s="1"/>
      <c r="I429" s="1"/>
    </row>
    <row r="430" spans="4:9" ht="14">
      <c r="D430" s="1"/>
      <c r="E430" s="1"/>
      <c r="F430" s="1"/>
      <c r="H430" s="1"/>
      <c r="I430" s="1"/>
    </row>
    <row r="431" spans="4:9" ht="14">
      <c r="D431" s="1"/>
      <c r="E431" s="1"/>
      <c r="F431" s="1"/>
      <c r="H431" s="1"/>
      <c r="I431" s="1"/>
    </row>
    <row r="432" spans="4:9" ht="14">
      <c r="D432" s="1"/>
      <c r="E432" s="1"/>
      <c r="F432" s="1"/>
      <c r="H432" s="1"/>
      <c r="I432" s="1"/>
    </row>
    <row r="433" spans="4:9" ht="14">
      <c r="D433" s="1"/>
      <c r="E433" s="1"/>
      <c r="F433" s="1"/>
      <c r="H433" s="1"/>
      <c r="I433" s="1"/>
    </row>
    <row r="434" spans="4:9" ht="14">
      <c r="D434" s="1"/>
      <c r="E434" s="1"/>
      <c r="F434" s="1"/>
      <c r="H434" s="1"/>
      <c r="I434" s="1"/>
    </row>
    <row r="435" spans="4:9" ht="14">
      <c r="D435" s="1"/>
      <c r="E435" s="1"/>
      <c r="F435" s="1"/>
      <c r="H435" s="1"/>
      <c r="I435" s="1"/>
    </row>
    <row r="436" spans="4:9" ht="14">
      <c r="D436" s="1"/>
      <c r="E436" s="1"/>
      <c r="F436" s="1"/>
      <c r="H436" s="1"/>
      <c r="I436" s="1"/>
    </row>
    <row r="437" spans="4:9" ht="14">
      <c r="D437" s="1"/>
      <c r="E437" s="1"/>
      <c r="F437" s="1"/>
      <c r="H437" s="1"/>
      <c r="I437" s="1"/>
    </row>
    <row r="438" spans="4:9" ht="14">
      <c r="D438" s="1"/>
      <c r="E438" s="1"/>
      <c r="F438" s="1"/>
      <c r="H438" s="1"/>
      <c r="I438" s="1"/>
    </row>
    <row r="439" spans="4:9" ht="14">
      <c r="D439" s="1"/>
      <c r="E439" s="1"/>
      <c r="F439" s="1"/>
      <c r="H439" s="1"/>
      <c r="I439" s="1"/>
    </row>
    <row r="440" spans="4:9" ht="14">
      <c r="D440" s="1"/>
      <c r="E440" s="1"/>
      <c r="F440" s="1"/>
      <c r="H440" s="1"/>
      <c r="I440" s="1"/>
    </row>
    <row r="441" spans="4:9" ht="14">
      <c r="D441" s="1"/>
      <c r="E441" s="1"/>
      <c r="F441" s="1"/>
      <c r="H441" s="1"/>
      <c r="I441" s="1"/>
    </row>
    <row r="442" spans="4:9" ht="14">
      <c r="D442" s="1"/>
      <c r="E442" s="1"/>
      <c r="F442" s="1"/>
      <c r="H442" s="1"/>
      <c r="I442" s="1"/>
    </row>
    <row r="443" spans="4:9" ht="14">
      <c r="D443" s="1"/>
      <c r="E443" s="1"/>
      <c r="F443" s="1"/>
      <c r="H443" s="1"/>
      <c r="I443" s="1"/>
    </row>
    <row r="444" spans="4:9" ht="14">
      <c r="D444" s="1"/>
      <c r="E444" s="1"/>
      <c r="F444" s="1"/>
      <c r="H444" s="1"/>
      <c r="I444" s="1"/>
    </row>
    <row r="445" spans="4:9" ht="14">
      <c r="D445" s="1"/>
      <c r="E445" s="1"/>
      <c r="F445" s="1"/>
      <c r="H445" s="1"/>
      <c r="I445" s="1"/>
    </row>
    <row r="446" spans="4:9" ht="14">
      <c r="D446" s="1"/>
      <c r="E446" s="1"/>
      <c r="F446" s="1"/>
      <c r="H446" s="1"/>
      <c r="I446" s="1"/>
    </row>
    <row r="447" spans="4:9" ht="14">
      <c r="D447" s="1"/>
      <c r="E447" s="1"/>
      <c r="F447" s="1"/>
      <c r="H447" s="1"/>
      <c r="I447" s="1"/>
    </row>
    <row r="448" spans="4:9" ht="14">
      <c r="D448" s="1"/>
      <c r="E448" s="1"/>
      <c r="F448" s="1"/>
      <c r="H448" s="1"/>
      <c r="I448" s="1"/>
    </row>
    <row r="449" spans="4:9" ht="14">
      <c r="D449" s="1"/>
      <c r="E449" s="1"/>
      <c r="F449" s="1"/>
      <c r="H449" s="1"/>
      <c r="I449" s="1"/>
    </row>
    <row r="450" spans="4:9" ht="14">
      <c r="D450" s="1"/>
      <c r="E450" s="1"/>
      <c r="F450" s="1"/>
      <c r="H450" s="1"/>
      <c r="I450" s="1"/>
    </row>
    <row r="451" spans="4:9" ht="14">
      <c r="D451" s="1"/>
      <c r="E451" s="1"/>
      <c r="F451" s="1"/>
      <c r="H451" s="1"/>
      <c r="I451" s="1"/>
    </row>
    <row r="452" spans="4:9" ht="14">
      <c r="D452" s="1"/>
      <c r="E452" s="1"/>
      <c r="F452" s="1"/>
      <c r="H452" s="1"/>
      <c r="I452" s="1"/>
    </row>
    <row r="453" spans="4:9" ht="14">
      <c r="D453" s="1"/>
      <c r="E453" s="1"/>
      <c r="F453" s="1"/>
      <c r="H453" s="1"/>
      <c r="I453" s="1"/>
    </row>
    <row r="454" spans="4:9" ht="14">
      <c r="D454" s="1"/>
      <c r="E454" s="1"/>
      <c r="F454" s="1"/>
      <c r="H454" s="1"/>
      <c r="I454" s="1"/>
    </row>
    <row r="455" spans="4:9" ht="14">
      <c r="D455" s="1"/>
      <c r="E455" s="1"/>
      <c r="F455" s="1"/>
      <c r="H455" s="1"/>
      <c r="I455" s="1"/>
    </row>
    <row r="456" spans="4:9" ht="14">
      <c r="D456" s="1"/>
      <c r="E456" s="1"/>
      <c r="F456" s="1"/>
      <c r="H456" s="1"/>
      <c r="I456" s="1"/>
    </row>
    <row r="457" spans="4:9" ht="14">
      <c r="D457" s="1"/>
      <c r="E457" s="1"/>
      <c r="F457" s="1"/>
      <c r="H457" s="1"/>
      <c r="I457" s="1"/>
    </row>
    <row r="458" spans="4:9" ht="14">
      <c r="D458" s="1"/>
      <c r="E458" s="1"/>
      <c r="F458" s="1"/>
      <c r="H458" s="1"/>
      <c r="I458" s="1"/>
    </row>
    <row r="459" spans="4:9" ht="14">
      <c r="D459" s="1"/>
      <c r="E459" s="1"/>
      <c r="F459" s="1"/>
      <c r="H459" s="1"/>
      <c r="I459" s="1"/>
    </row>
    <row r="460" spans="4:9" ht="14">
      <c r="D460" s="1"/>
      <c r="E460" s="1"/>
      <c r="F460" s="1"/>
      <c r="H460" s="1"/>
      <c r="I460" s="1"/>
    </row>
    <row r="461" spans="4:9" ht="14">
      <c r="D461" s="1"/>
      <c r="E461" s="1"/>
      <c r="F461" s="1"/>
      <c r="H461" s="1"/>
      <c r="I461" s="1"/>
    </row>
    <row r="462" spans="4:9" ht="14">
      <c r="D462" s="1"/>
      <c r="E462" s="1"/>
      <c r="F462" s="1"/>
      <c r="H462" s="1"/>
      <c r="I462" s="1"/>
    </row>
    <row r="463" spans="4:9" ht="14">
      <c r="D463" s="1"/>
      <c r="E463" s="1"/>
      <c r="F463" s="1"/>
      <c r="H463" s="1"/>
      <c r="I463" s="1"/>
    </row>
    <row r="464" spans="4:9" ht="14">
      <c r="D464" s="1"/>
      <c r="E464" s="1"/>
      <c r="F464" s="1"/>
      <c r="H464" s="1"/>
      <c r="I464" s="1"/>
    </row>
    <row r="465" spans="4:9" ht="14">
      <c r="D465" s="1"/>
      <c r="E465" s="1"/>
      <c r="F465" s="1"/>
      <c r="H465" s="1"/>
      <c r="I465" s="1"/>
    </row>
    <row r="466" spans="4:9" ht="14">
      <c r="D466" s="1"/>
      <c r="E466" s="1"/>
      <c r="F466" s="1"/>
      <c r="H466" s="1"/>
      <c r="I466" s="1"/>
    </row>
    <row r="467" spans="4:9" ht="14">
      <c r="D467" s="1"/>
      <c r="E467" s="1"/>
      <c r="F467" s="1"/>
      <c r="H467" s="1"/>
      <c r="I467" s="1"/>
    </row>
    <row r="468" spans="4:9" ht="14">
      <c r="D468" s="1"/>
      <c r="E468" s="1"/>
      <c r="F468" s="1"/>
      <c r="H468" s="1"/>
      <c r="I468" s="1"/>
    </row>
    <row r="469" spans="4:9" ht="14">
      <c r="D469" s="1"/>
      <c r="E469" s="1"/>
      <c r="F469" s="1"/>
      <c r="H469" s="1"/>
      <c r="I469" s="1"/>
    </row>
    <row r="470" spans="4:9" ht="14">
      <c r="D470" s="1"/>
      <c r="E470" s="1"/>
      <c r="F470" s="1"/>
      <c r="H470" s="1"/>
      <c r="I470" s="1"/>
    </row>
    <row r="471" spans="4:9" ht="14">
      <c r="D471" s="1"/>
      <c r="E471" s="1"/>
      <c r="F471" s="1"/>
      <c r="H471" s="1"/>
      <c r="I471" s="1"/>
    </row>
    <row r="472" spans="4:9" ht="14">
      <c r="D472" s="1"/>
      <c r="E472" s="1"/>
      <c r="F472" s="1"/>
      <c r="H472" s="1"/>
      <c r="I472" s="1"/>
    </row>
    <row r="473" spans="4:9" ht="14">
      <c r="D473" s="1"/>
      <c r="E473" s="1"/>
      <c r="F473" s="1"/>
      <c r="H473" s="1"/>
      <c r="I473" s="1"/>
    </row>
    <row r="474" spans="4:9" ht="14">
      <c r="D474" s="1"/>
      <c r="E474" s="1"/>
      <c r="F474" s="1"/>
      <c r="H474" s="1"/>
      <c r="I474" s="1"/>
    </row>
    <row r="475" spans="4:9" ht="14">
      <c r="D475" s="1"/>
      <c r="E475" s="1"/>
      <c r="F475" s="1"/>
      <c r="H475" s="1"/>
      <c r="I475" s="1"/>
    </row>
    <row r="476" spans="4:9" ht="14">
      <c r="D476" s="1"/>
      <c r="E476" s="1"/>
      <c r="F476" s="1"/>
      <c r="H476" s="1"/>
      <c r="I476" s="1"/>
    </row>
    <row r="477" spans="4:9" ht="14">
      <c r="D477" s="1"/>
      <c r="E477" s="1"/>
      <c r="F477" s="1"/>
      <c r="H477" s="1"/>
      <c r="I477" s="1"/>
    </row>
    <row r="478" spans="4:9" ht="14">
      <c r="D478" s="1"/>
      <c r="E478" s="1"/>
      <c r="F478" s="1"/>
      <c r="H478" s="1"/>
      <c r="I478" s="1"/>
    </row>
    <row r="479" spans="4:9" ht="14">
      <c r="D479" s="1"/>
      <c r="E479" s="1"/>
      <c r="F479" s="1"/>
      <c r="H479" s="1"/>
      <c r="I479" s="1"/>
    </row>
    <row r="480" spans="4:9" ht="14">
      <c r="D480" s="1"/>
      <c r="E480" s="1"/>
      <c r="F480" s="1"/>
      <c r="H480" s="1"/>
      <c r="I480" s="1"/>
    </row>
    <row r="481" spans="4:9" ht="14">
      <c r="D481" s="1"/>
      <c r="E481" s="1"/>
      <c r="F481" s="1"/>
      <c r="H481" s="1"/>
      <c r="I481" s="1"/>
    </row>
    <row r="482" spans="4:9" ht="14">
      <c r="D482" s="1"/>
      <c r="E482" s="1"/>
      <c r="F482" s="1"/>
      <c r="H482" s="1"/>
      <c r="I482" s="1"/>
    </row>
    <row r="483" spans="4:9" ht="14">
      <c r="D483" s="1"/>
      <c r="E483" s="1"/>
      <c r="F483" s="1"/>
      <c r="H483" s="1"/>
      <c r="I483" s="1"/>
    </row>
    <row r="484" spans="4:9" ht="14">
      <c r="D484" s="1"/>
      <c r="E484" s="1"/>
      <c r="F484" s="1"/>
      <c r="H484" s="1"/>
      <c r="I484" s="1"/>
    </row>
    <row r="485" spans="4:9" ht="14">
      <c r="D485" s="1"/>
      <c r="E485" s="1"/>
      <c r="F485" s="1"/>
      <c r="H485" s="1"/>
      <c r="I485" s="1"/>
    </row>
    <row r="486" spans="4:9" ht="14">
      <c r="D486" s="1"/>
      <c r="E486" s="1"/>
      <c r="F486" s="1"/>
      <c r="H486" s="1"/>
      <c r="I486" s="1"/>
    </row>
    <row r="487" spans="4:9" ht="14">
      <c r="D487" s="1"/>
      <c r="E487" s="1"/>
      <c r="F487" s="1"/>
      <c r="H487" s="1"/>
      <c r="I487" s="1"/>
    </row>
    <row r="488" spans="4:9" ht="14">
      <c r="D488" s="1"/>
      <c r="E488" s="1"/>
      <c r="F488" s="1"/>
      <c r="H488" s="1"/>
      <c r="I488" s="1"/>
    </row>
    <row r="489" spans="4:9" ht="14">
      <c r="D489" s="1"/>
      <c r="E489" s="1"/>
      <c r="F489" s="1"/>
      <c r="H489" s="1"/>
      <c r="I489" s="1"/>
    </row>
    <row r="490" spans="4:9" ht="14">
      <c r="D490" s="1"/>
      <c r="E490" s="1"/>
      <c r="F490" s="1"/>
      <c r="H490" s="1"/>
      <c r="I490" s="1"/>
    </row>
    <row r="491" spans="4:9" ht="14">
      <c r="D491" s="1"/>
      <c r="E491" s="1"/>
      <c r="F491" s="1"/>
      <c r="H491" s="1"/>
      <c r="I491" s="1"/>
    </row>
    <row r="492" spans="4:9" ht="14">
      <c r="D492" s="1"/>
      <c r="E492" s="1"/>
      <c r="F492" s="1"/>
      <c r="H492" s="1"/>
      <c r="I492" s="1"/>
    </row>
    <row r="493" spans="4:9" ht="14">
      <c r="D493" s="1"/>
      <c r="E493" s="1"/>
      <c r="F493" s="1"/>
      <c r="H493" s="1"/>
      <c r="I493" s="1"/>
    </row>
    <row r="494" spans="4:9" ht="14">
      <c r="D494" s="1"/>
      <c r="E494" s="1"/>
      <c r="F494" s="1"/>
      <c r="H494" s="1"/>
      <c r="I494" s="1"/>
    </row>
    <row r="495" spans="4:9" ht="14">
      <c r="D495" s="1"/>
      <c r="E495" s="1"/>
      <c r="F495" s="1"/>
      <c r="H495" s="1"/>
      <c r="I495" s="1"/>
    </row>
    <row r="496" spans="4:9" ht="14">
      <c r="D496" s="1"/>
      <c r="E496" s="1"/>
      <c r="F496" s="1"/>
      <c r="H496" s="1"/>
      <c r="I496" s="1"/>
    </row>
    <row r="497" spans="4:9" ht="14">
      <c r="D497" s="1"/>
      <c r="E497" s="1"/>
      <c r="F497" s="1"/>
      <c r="H497" s="1"/>
      <c r="I497" s="1"/>
    </row>
    <row r="498" spans="4:9" ht="14">
      <c r="D498" s="1"/>
      <c r="E498" s="1"/>
      <c r="F498" s="1"/>
      <c r="H498" s="1"/>
      <c r="I498" s="1"/>
    </row>
    <row r="499" spans="4:9" ht="14">
      <c r="D499" s="1"/>
      <c r="E499" s="1"/>
      <c r="F499" s="1"/>
      <c r="H499" s="1"/>
      <c r="I499" s="1"/>
    </row>
    <row r="500" spans="4:9" ht="14">
      <c r="D500" s="1"/>
      <c r="E500" s="1"/>
      <c r="F500" s="1"/>
      <c r="H500" s="1"/>
      <c r="I500" s="1"/>
    </row>
    <row r="501" spans="4:9" ht="14">
      <c r="D501" s="1"/>
      <c r="E501" s="1"/>
      <c r="F501" s="1"/>
      <c r="H501" s="1"/>
      <c r="I501" s="1"/>
    </row>
    <row r="502" spans="4:9" ht="14">
      <c r="D502" s="1"/>
      <c r="E502" s="1"/>
      <c r="F502" s="1"/>
      <c r="H502" s="1"/>
      <c r="I502" s="1"/>
    </row>
    <row r="503" spans="4:9" ht="14">
      <c r="D503" s="1"/>
      <c r="E503" s="1"/>
      <c r="F503" s="1"/>
      <c r="H503" s="1"/>
      <c r="I503" s="1"/>
    </row>
    <row r="504" spans="4:9" ht="14">
      <c r="D504" s="1"/>
      <c r="E504" s="1"/>
      <c r="F504" s="1"/>
      <c r="H504" s="1"/>
      <c r="I504" s="1"/>
    </row>
    <row r="505" spans="4:9" ht="14">
      <c r="D505" s="1"/>
      <c r="E505" s="1"/>
      <c r="F505" s="1"/>
      <c r="H505" s="1"/>
      <c r="I505" s="1"/>
    </row>
    <row r="506" spans="4:9" ht="14">
      <c r="D506" s="1"/>
      <c r="E506" s="1"/>
      <c r="F506" s="1"/>
      <c r="H506" s="1"/>
      <c r="I506" s="1"/>
    </row>
    <row r="507" spans="4:9" ht="14">
      <c r="D507" s="1"/>
      <c r="E507" s="1"/>
      <c r="F507" s="1"/>
      <c r="H507" s="1"/>
      <c r="I507" s="1"/>
    </row>
    <row r="508" spans="4:9" ht="14">
      <c r="D508" s="1"/>
      <c r="E508" s="1"/>
      <c r="F508" s="1"/>
      <c r="H508" s="1"/>
      <c r="I508" s="1"/>
    </row>
    <row r="509" spans="4:9" ht="14">
      <c r="D509" s="1"/>
      <c r="E509" s="1"/>
      <c r="F509" s="1"/>
      <c r="H509" s="1"/>
      <c r="I509" s="1"/>
    </row>
    <row r="510" spans="4:9" ht="14">
      <c r="D510" s="1"/>
      <c r="E510" s="1"/>
      <c r="F510" s="1"/>
      <c r="H510" s="1"/>
      <c r="I510" s="1"/>
    </row>
    <row r="511" spans="4:9" ht="14">
      <c r="D511" s="1"/>
      <c r="E511" s="1"/>
      <c r="F511" s="1"/>
      <c r="H511" s="1"/>
      <c r="I511" s="1"/>
    </row>
    <row r="512" spans="4:9" ht="14">
      <c r="D512" s="1"/>
      <c r="E512" s="1"/>
      <c r="F512" s="1"/>
      <c r="H512" s="1"/>
      <c r="I512" s="1"/>
    </row>
    <row r="513" spans="4:9" ht="14">
      <c r="D513" s="1"/>
      <c r="E513" s="1"/>
      <c r="F513" s="1"/>
      <c r="H513" s="1"/>
      <c r="I513" s="1"/>
    </row>
    <row r="514" spans="4:9" ht="14">
      <c r="D514" s="1"/>
      <c r="E514" s="1"/>
      <c r="F514" s="1"/>
      <c r="H514" s="1"/>
      <c r="I514" s="1"/>
    </row>
    <row r="515" spans="4:9" ht="14">
      <c r="D515" s="1"/>
      <c r="E515" s="1"/>
      <c r="F515" s="1"/>
      <c r="H515" s="1"/>
      <c r="I515" s="1"/>
    </row>
    <row r="516" spans="4:9" ht="14">
      <c r="D516" s="1"/>
      <c r="E516" s="1"/>
      <c r="F516" s="1"/>
      <c r="H516" s="1"/>
      <c r="I516" s="1"/>
    </row>
    <row r="517" spans="4:9" ht="14">
      <c r="D517" s="1"/>
      <c r="E517" s="1"/>
      <c r="F517" s="1"/>
      <c r="H517" s="1"/>
      <c r="I517" s="1"/>
    </row>
    <row r="518" spans="4:9" ht="14">
      <c r="D518" s="1"/>
      <c r="E518" s="1"/>
      <c r="F518" s="1"/>
      <c r="H518" s="1"/>
      <c r="I518" s="1"/>
    </row>
    <row r="519" spans="4:9" ht="14">
      <c r="D519" s="1"/>
      <c r="E519" s="1"/>
      <c r="F519" s="1"/>
      <c r="H519" s="1"/>
      <c r="I519" s="1"/>
    </row>
    <row r="520" spans="4:9" ht="14">
      <c r="D520" s="1"/>
      <c r="E520" s="1"/>
      <c r="F520" s="1"/>
      <c r="H520" s="1"/>
      <c r="I520" s="1"/>
    </row>
    <row r="521" spans="4:9" ht="14">
      <c r="D521" s="1"/>
      <c r="E521" s="1"/>
      <c r="F521" s="1"/>
      <c r="H521" s="1"/>
      <c r="I521" s="1"/>
    </row>
    <row r="522" spans="4:9" ht="14">
      <c r="D522" s="1"/>
      <c r="E522" s="1"/>
      <c r="F522" s="1"/>
      <c r="H522" s="1"/>
      <c r="I522" s="1"/>
    </row>
    <row r="523" spans="4:9" ht="14">
      <c r="D523" s="1"/>
      <c r="E523" s="1"/>
      <c r="F523" s="1"/>
      <c r="H523" s="1"/>
      <c r="I523" s="1"/>
    </row>
    <row r="524" spans="4:9" ht="14">
      <c r="D524" s="1"/>
      <c r="E524" s="1"/>
      <c r="F524" s="1"/>
      <c r="H524" s="1"/>
      <c r="I524" s="1"/>
    </row>
    <row r="525" spans="4:9" ht="14">
      <c r="D525" s="1"/>
      <c r="E525" s="1"/>
      <c r="F525" s="1"/>
      <c r="H525" s="1"/>
      <c r="I525" s="1"/>
    </row>
    <row r="526" spans="4:9" ht="14">
      <c r="D526" s="1"/>
      <c r="E526" s="1"/>
      <c r="F526" s="1"/>
      <c r="H526" s="1"/>
      <c r="I526" s="1"/>
    </row>
    <row r="527" spans="4:9" ht="14">
      <c r="D527" s="1"/>
      <c r="E527" s="1"/>
      <c r="F527" s="1"/>
      <c r="H527" s="1"/>
      <c r="I527" s="1"/>
    </row>
    <row r="528" spans="4:9" ht="14">
      <c r="D528" s="1"/>
      <c r="E528" s="1"/>
      <c r="F528" s="1"/>
      <c r="H528" s="1"/>
      <c r="I528" s="1"/>
    </row>
    <row r="529" spans="4:9" ht="14">
      <c r="D529" s="1"/>
      <c r="E529" s="1"/>
      <c r="F529" s="1"/>
      <c r="H529" s="1"/>
      <c r="I529" s="1"/>
    </row>
    <row r="530" spans="4:9" ht="14">
      <c r="D530" s="1"/>
      <c r="E530" s="1"/>
      <c r="F530" s="1"/>
      <c r="H530" s="1"/>
      <c r="I530" s="1"/>
    </row>
    <row r="531" spans="4:9" ht="14">
      <c r="D531" s="1"/>
      <c r="E531" s="1"/>
      <c r="F531" s="1"/>
      <c r="H531" s="1"/>
      <c r="I531" s="1"/>
    </row>
    <row r="532" spans="4:9" ht="14">
      <c r="D532" s="1"/>
      <c r="E532" s="1"/>
      <c r="F532" s="1"/>
      <c r="H532" s="1"/>
      <c r="I532" s="1"/>
    </row>
    <row r="533" spans="4:9" ht="14">
      <c r="D533" s="1"/>
      <c r="E533" s="1"/>
      <c r="F533" s="1"/>
      <c r="H533" s="1"/>
      <c r="I533" s="1"/>
    </row>
    <row r="534" spans="4:9" ht="14">
      <c r="D534" s="1"/>
      <c r="E534" s="1"/>
      <c r="F534" s="1"/>
      <c r="H534" s="1"/>
      <c r="I534" s="1"/>
    </row>
    <row r="535" spans="4:9" ht="14">
      <c r="D535" s="1"/>
      <c r="E535" s="1"/>
      <c r="F535" s="1"/>
      <c r="H535" s="1"/>
      <c r="I535" s="1"/>
    </row>
    <row r="536" spans="4:9" ht="14">
      <c r="D536" s="1"/>
      <c r="E536" s="1"/>
      <c r="F536" s="1"/>
      <c r="H536" s="1"/>
      <c r="I536" s="1"/>
    </row>
    <row r="537" spans="4:9" ht="14">
      <c r="D537" s="1"/>
      <c r="E537" s="1"/>
      <c r="F537" s="1"/>
      <c r="H537" s="1"/>
      <c r="I537" s="1"/>
    </row>
    <row r="538" spans="4:9" ht="14">
      <c r="D538" s="1"/>
      <c r="E538" s="1"/>
      <c r="F538" s="1"/>
      <c r="H538" s="1"/>
      <c r="I538" s="1"/>
    </row>
    <row r="539" spans="4:9" ht="14">
      <c r="D539" s="1"/>
      <c r="E539" s="1"/>
      <c r="F539" s="1"/>
      <c r="H539" s="1"/>
      <c r="I539" s="1"/>
    </row>
    <row r="540" spans="4:9" ht="14">
      <c r="D540" s="1"/>
      <c r="E540" s="1"/>
      <c r="F540" s="1"/>
      <c r="H540" s="1"/>
      <c r="I540" s="1"/>
    </row>
    <row r="541" spans="4:9" ht="14">
      <c r="D541" s="1"/>
      <c r="E541" s="1"/>
      <c r="F541" s="1"/>
      <c r="H541" s="1"/>
      <c r="I541" s="1"/>
    </row>
    <row r="542" spans="4:9" ht="14">
      <c r="D542" s="1"/>
      <c r="E542" s="1"/>
      <c r="F542" s="1"/>
      <c r="H542" s="1"/>
      <c r="I542" s="1"/>
    </row>
    <row r="543" spans="4:9" ht="14">
      <c r="D543" s="1"/>
      <c r="E543" s="1"/>
      <c r="F543" s="1"/>
      <c r="H543" s="1"/>
      <c r="I543" s="1"/>
    </row>
    <row r="544" spans="4:9" ht="14">
      <c r="D544" s="1"/>
      <c r="E544" s="1"/>
      <c r="F544" s="1"/>
      <c r="H544" s="1"/>
      <c r="I544" s="1"/>
    </row>
    <row r="545" spans="4:9" ht="14">
      <c r="D545" s="1"/>
      <c r="E545" s="1"/>
      <c r="F545" s="1"/>
      <c r="H545" s="1"/>
      <c r="I545" s="1"/>
    </row>
    <row r="546" spans="4:9" ht="14">
      <c r="D546" s="1"/>
      <c r="E546" s="1"/>
      <c r="F546" s="1"/>
      <c r="H546" s="1"/>
      <c r="I546" s="1"/>
    </row>
    <row r="547" spans="4:9" ht="14">
      <c r="D547" s="1"/>
      <c r="E547" s="1"/>
      <c r="F547" s="1"/>
      <c r="H547" s="1"/>
      <c r="I547" s="1"/>
    </row>
    <row r="548" spans="4:9" ht="14">
      <c r="D548" s="1"/>
      <c r="E548" s="1"/>
      <c r="F548" s="1"/>
      <c r="H548" s="1"/>
      <c r="I548" s="1"/>
    </row>
    <row r="549" spans="4:9" ht="14">
      <c r="D549" s="1"/>
      <c r="E549" s="1"/>
      <c r="F549" s="1"/>
      <c r="H549" s="1"/>
      <c r="I549" s="1"/>
    </row>
    <row r="550" spans="4:9" ht="14">
      <c r="D550" s="1"/>
      <c r="E550" s="1"/>
      <c r="F550" s="1"/>
      <c r="H550" s="1"/>
      <c r="I550" s="1"/>
    </row>
    <row r="551" spans="4:9" ht="14">
      <c r="D551" s="1"/>
      <c r="E551" s="1"/>
      <c r="F551" s="1"/>
      <c r="H551" s="1"/>
      <c r="I551" s="1"/>
    </row>
    <row r="552" spans="4:9" ht="14">
      <c r="D552" s="1"/>
      <c r="E552" s="1"/>
      <c r="F552" s="1"/>
      <c r="H552" s="1"/>
      <c r="I552" s="1"/>
    </row>
    <row r="553" spans="4:9" ht="14">
      <c r="D553" s="1"/>
      <c r="E553" s="1"/>
      <c r="F553" s="1"/>
      <c r="H553" s="1"/>
      <c r="I553" s="1"/>
    </row>
    <row r="554" spans="4:9" ht="14">
      <c r="D554" s="1"/>
      <c r="E554" s="1"/>
      <c r="F554" s="1"/>
      <c r="H554" s="1"/>
      <c r="I554" s="1"/>
    </row>
    <row r="555" spans="4:9" ht="14">
      <c r="D555" s="1"/>
      <c r="E555" s="1"/>
      <c r="F555" s="1"/>
      <c r="H555" s="1"/>
      <c r="I555" s="1"/>
    </row>
    <row r="556" spans="4:9" ht="14">
      <c r="D556" s="1"/>
      <c r="E556" s="1"/>
      <c r="F556" s="1"/>
      <c r="H556" s="1"/>
      <c r="I556" s="1"/>
    </row>
    <row r="557" spans="4:9" ht="14">
      <c r="D557" s="1"/>
      <c r="E557" s="1"/>
      <c r="F557" s="1"/>
      <c r="H557" s="1"/>
      <c r="I557" s="1"/>
    </row>
    <row r="558" spans="4:9" ht="14">
      <c r="D558" s="1"/>
      <c r="E558" s="1"/>
      <c r="F558" s="1"/>
      <c r="H558" s="1"/>
      <c r="I558" s="1"/>
    </row>
    <row r="559" spans="4:9" ht="14">
      <c r="D559" s="1"/>
      <c r="E559" s="1"/>
      <c r="F559" s="1"/>
      <c r="H559" s="1"/>
      <c r="I559" s="1"/>
    </row>
    <row r="560" spans="4:9" ht="14">
      <c r="D560" s="1"/>
      <c r="E560" s="1"/>
      <c r="F560" s="1"/>
      <c r="H560" s="1"/>
      <c r="I560" s="1"/>
    </row>
    <row r="561" spans="4:9" ht="14">
      <c r="D561" s="1"/>
      <c r="E561" s="1"/>
      <c r="F561" s="1"/>
      <c r="H561" s="1"/>
      <c r="I561" s="1"/>
    </row>
    <row r="562" spans="4:9" ht="14">
      <c r="D562" s="1"/>
      <c r="E562" s="1"/>
      <c r="F562" s="1"/>
      <c r="H562" s="1"/>
      <c r="I562" s="1"/>
    </row>
    <row r="563" spans="4:9" ht="14">
      <c r="D563" s="1"/>
      <c r="E563" s="1"/>
      <c r="F563" s="1"/>
      <c r="H563" s="1"/>
      <c r="I563" s="1"/>
    </row>
    <row r="564" spans="4:9" ht="14">
      <c r="D564" s="1"/>
      <c r="E564" s="1"/>
      <c r="F564" s="1"/>
      <c r="H564" s="1"/>
      <c r="I564" s="1"/>
    </row>
    <row r="565" spans="4:9" ht="14">
      <c r="D565" s="1"/>
      <c r="E565" s="1"/>
      <c r="F565" s="1"/>
      <c r="H565" s="1"/>
      <c r="I565" s="1"/>
    </row>
    <row r="566" spans="4:9" ht="14">
      <c r="D566" s="1"/>
      <c r="E566" s="1"/>
      <c r="F566" s="1"/>
      <c r="H566" s="1"/>
      <c r="I566" s="1"/>
    </row>
    <row r="567" spans="4:9" ht="14">
      <c r="D567" s="1"/>
      <c r="E567" s="1"/>
      <c r="F567" s="1"/>
      <c r="H567" s="1"/>
      <c r="I567" s="1"/>
    </row>
    <row r="568" spans="4:9" ht="14">
      <c r="D568" s="1"/>
      <c r="E568" s="1"/>
      <c r="F568" s="1"/>
      <c r="H568" s="1"/>
      <c r="I568" s="1"/>
    </row>
    <row r="569" spans="4:9" ht="14">
      <c r="D569" s="1"/>
      <c r="E569" s="1"/>
      <c r="F569" s="1"/>
      <c r="H569" s="1"/>
      <c r="I569" s="1"/>
    </row>
    <row r="570" spans="4:9" ht="14">
      <c r="D570" s="1"/>
      <c r="E570" s="1"/>
      <c r="F570" s="1"/>
      <c r="H570" s="1"/>
      <c r="I570" s="1"/>
    </row>
    <row r="571" spans="4:9" ht="14">
      <c r="D571" s="1"/>
      <c r="E571" s="1"/>
      <c r="F571" s="1"/>
      <c r="H571" s="1"/>
      <c r="I571" s="1"/>
    </row>
    <row r="572" spans="4:9" ht="14">
      <c r="D572" s="1"/>
      <c r="E572" s="1"/>
      <c r="F572" s="1"/>
      <c r="H572" s="1"/>
      <c r="I572" s="1"/>
    </row>
    <row r="573" spans="4:9" ht="14">
      <c r="D573" s="1"/>
      <c r="E573" s="1"/>
      <c r="F573" s="1"/>
      <c r="H573" s="1"/>
      <c r="I573" s="1"/>
    </row>
    <row r="574" spans="4:9" ht="14">
      <c r="D574" s="1"/>
      <c r="E574" s="1"/>
      <c r="F574" s="1"/>
      <c r="H574" s="1"/>
      <c r="I574" s="1"/>
    </row>
    <row r="575" spans="4:9" ht="14">
      <c r="D575" s="1"/>
      <c r="E575" s="1"/>
      <c r="F575" s="1"/>
      <c r="H575" s="1"/>
      <c r="I575" s="1"/>
    </row>
    <row r="576" spans="4:9" ht="14">
      <c r="D576" s="1"/>
      <c r="E576" s="1"/>
      <c r="F576" s="1"/>
      <c r="H576" s="1"/>
      <c r="I576" s="1"/>
    </row>
    <row r="577" spans="4:9" ht="14">
      <c r="D577" s="1"/>
      <c r="E577" s="1"/>
      <c r="F577" s="1"/>
      <c r="H577" s="1"/>
      <c r="I577" s="1"/>
    </row>
    <row r="578" spans="4:9" ht="14">
      <c r="D578" s="1"/>
      <c r="E578" s="1"/>
      <c r="F578" s="1"/>
      <c r="H578" s="1"/>
      <c r="I578" s="1"/>
    </row>
    <row r="579" spans="4:9" ht="14">
      <c r="D579" s="1"/>
      <c r="E579" s="1"/>
      <c r="F579" s="1"/>
      <c r="H579" s="1"/>
      <c r="I579" s="1"/>
    </row>
    <row r="580" spans="4:9" ht="14">
      <c r="D580" s="1"/>
      <c r="E580" s="1"/>
      <c r="F580" s="1"/>
      <c r="H580" s="1"/>
      <c r="I580" s="1"/>
    </row>
    <row r="581" spans="4:9" ht="14">
      <c r="D581" s="1"/>
      <c r="E581" s="1"/>
      <c r="F581" s="1"/>
      <c r="H581" s="1"/>
      <c r="I581" s="1"/>
    </row>
    <row r="582" spans="4:9" ht="14">
      <c r="D582" s="1"/>
      <c r="E582" s="1"/>
      <c r="F582" s="1"/>
      <c r="H582" s="1"/>
      <c r="I582" s="1"/>
    </row>
    <row r="583" spans="4:9" ht="14">
      <c r="D583" s="1"/>
      <c r="E583" s="1"/>
      <c r="F583" s="1"/>
      <c r="H583" s="1"/>
      <c r="I583" s="1"/>
    </row>
    <row r="584" spans="4:9" ht="14">
      <c r="D584" s="1"/>
      <c r="E584" s="1"/>
      <c r="F584" s="1"/>
      <c r="H584" s="1"/>
      <c r="I584" s="1"/>
    </row>
    <row r="585" spans="4:9" ht="14">
      <c r="D585" s="1"/>
      <c r="E585" s="1"/>
      <c r="F585" s="1"/>
      <c r="H585" s="1"/>
      <c r="I585" s="1"/>
    </row>
    <row r="586" spans="4:9" ht="14">
      <c r="D586" s="1"/>
      <c r="E586" s="1"/>
      <c r="F586" s="1"/>
      <c r="H586" s="1"/>
      <c r="I586" s="1"/>
    </row>
    <row r="587" spans="4:9" ht="14">
      <c r="D587" s="1"/>
      <c r="E587" s="1"/>
      <c r="F587" s="1"/>
      <c r="H587" s="1"/>
      <c r="I587" s="1"/>
    </row>
    <row r="588" spans="4:9" ht="14">
      <c r="D588" s="1"/>
      <c r="E588" s="1"/>
      <c r="F588" s="1"/>
      <c r="H588" s="1"/>
      <c r="I588" s="1"/>
    </row>
    <row r="589" spans="4:9" ht="14">
      <c r="D589" s="1"/>
      <c r="E589" s="1"/>
      <c r="F589" s="1"/>
      <c r="H589" s="1"/>
      <c r="I589" s="1"/>
    </row>
    <row r="590" spans="4:9" ht="14">
      <c r="D590" s="1"/>
      <c r="E590" s="1"/>
      <c r="F590" s="1"/>
      <c r="H590" s="1"/>
      <c r="I590" s="1"/>
    </row>
    <row r="591" spans="4:9" ht="14">
      <c r="D591" s="1"/>
      <c r="E591" s="1"/>
      <c r="F591" s="1"/>
      <c r="H591" s="1"/>
      <c r="I591" s="1"/>
    </row>
    <row r="592" spans="4:9" ht="14">
      <c r="D592" s="1"/>
      <c r="E592" s="1"/>
      <c r="F592" s="1"/>
      <c r="H592" s="1"/>
      <c r="I592" s="1"/>
    </row>
    <row r="593" spans="4:9" ht="14">
      <c r="D593" s="1"/>
      <c r="E593" s="1"/>
      <c r="F593" s="1"/>
      <c r="H593" s="1"/>
      <c r="I593" s="1"/>
    </row>
    <row r="594" spans="4:9" ht="14">
      <c r="D594" s="1"/>
      <c r="E594" s="1"/>
      <c r="F594" s="1"/>
      <c r="H594" s="1"/>
      <c r="I594" s="1"/>
    </row>
    <row r="595" spans="4:9" ht="14">
      <c r="D595" s="1"/>
      <c r="E595" s="1"/>
      <c r="F595" s="1"/>
      <c r="H595" s="1"/>
      <c r="I595" s="1"/>
    </row>
    <row r="596" spans="4:9" ht="14">
      <c r="D596" s="1"/>
      <c r="E596" s="1"/>
      <c r="F596" s="1"/>
      <c r="H596" s="1"/>
      <c r="I596" s="1"/>
    </row>
    <row r="597" spans="4:9" ht="14">
      <c r="D597" s="1"/>
      <c r="E597" s="1"/>
      <c r="F597" s="1"/>
      <c r="H597" s="1"/>
      <c r="I597" s="1"/>
    </row>
    <row r="598" spans="4:9" ht="14">
      <c r="D598" s="1"/>
      <c r="E598" s="1"/>
      <c r="F598" s="1"/>
      <c r="H598" s="1"/>
      <c r="I598" s="1"/>
    </row>
    <row r="599" spans="4:9" ht="14">
      <c r="D599" s="1"/>
      <c r="E599" s="1"/>
      <c r="F599" s="1"/>
      <c r="H599" s="1"/>
      <c r="I599" s="1"/>
    </row>
    <row r="600" spans="4:9" ht="14">
      <c r="D600" s="1"/>
      <c r="E600" s="1"/>
      <c r="F600" s="1"/>
      <c r="H600" s="1"/>
      <c r="I600" s="1"/>
    </row>
    <row r="601" spans="4:9" ht="14">
      <c r="D601" s="1"/>
      <c r="E601" s="1"/>
      <c r="F601" s="1"/>
      <c r="H601" s="1"/>
      <c r="I601" s="1"/>
    </row>
    <row r="602" spans="4:9" ht="14">
      <c r="D602" s="1"/>
      <c r="E602" s="1"/>
      <c r="F602" s="1"/>
      <c r="H602" s="1"/>
      <c r="I602" s="1"/>
    </row>
    <row r="603" spans="4:9" ht="14">
      <c r="D603" s="1"/>
      <c r="E603" s="1"/>
      <c r="F603" s="1"/>
      <c r="H603" s="1"/>
      <c r="I603" s="1"/>
    </row>
    <row r="604" spans="4:9" ht="14">
      <c r="D604" s="1"/>
      <c r="E604" s="1"/>
      <c r="F604" s="1"/>
      <c r="H604" s="1"/>
      <c r="I604" s="1"/>
    </row>
    <row r="605" spans="4:9" ht="14">
      <c r="D605" s="1"/>
      <c r="E605" s="1"/>
      <c r="F605" s="1"/>
      <c r="H605" s="1"/>
      <c r="I605" s="1"/>
    </row>
    <row r="606" spans="4:9" ht="14">
      <c r="D606" s="1"/>
      <c r="E606" s="1"/>
      <c r="F606" s="1"/>
      <c r="H606" s="1"/>
      <c r="I606" s="1"/>
    </row>
    <row r="607" spans="4:9" ht="14">
      <c r="D607" s="1"/>
      <c r="E607" s="1"/>
      <c r="F607" s="1"/>
      <c r="H607" s="1"/>
      <c r="I607" s="1"/>
    </row>
    <row r="608" spans="4:9" ht="14">
      <c r="D608" s="1"/>
      <c r="E608" s="1"/>
      <c r="F608" s="1"/>
      <c r="H608" s="1"/>
      <c r="I608" s="1"/>
    </row>
    <row r="609" spans="4:9" ht="14">
      <c r="D609" s="1"/>
      <c r="E609" s="1"/>
      <c r="F609" s="1"/>
      <c r="H609" s="1"/>
      <c r="I609" s="1"/>
    </row>
    <row r="610" spans="4:9" ht="14">
      <c r="D610" s="1"/>
      <c r="E610" s="1"/>
      <c r="F610" s="1"/>
      <c r="H610" s="1"/>
      <c r="I610" s="1"/>
    </row>
    <row r="611" spans="4:9" ht="14">
      <c r="D611" s="1"/>
      <c r="E611" s="1"/>
      <c r="F611" s="1"/>
      <c r="H611" s="1"/>
      <c r="I611" s="1"/>
    </row>
    <row r="612" spans="4:9" ht="14">
      <c r="D612" s="1"/>
      <c r="E612" s="1"/>
      <c r="F612" s="1"/>
      <c r="H612" s="1"/>
      <c r="I612" s="1"/>
    </row>
    <row r="613" spans="4:9" ht="14">
      <c r="D613" s="1"/>
      <c r="E613" s="1"/>
      <c r="F613" s="1"/>
      <c r="H613" s="1"/>
      <c r="I613" s="1"/>
    </row>
    <row r="614" spans="4:9" ht="14">
      <c r="D614" s="1"/>
      <c r="E614" s="1"/>
      <c r="F614" s="1"/>
      <c r="H614" s="1"/>
      <c r="I614" s="1"/>
    </row>
    <row r="615" spans="4:9" ht="14">
      <c r="D615" s="1"/>
      <c r="E615" s="1"/>
      <c r="F615" s="1"/>
      <c r="H615" s="1"/>
      <c r="I615" s="1"/>
    </row>
    <row r="616" spans="4:9" ht="14">
      <c r="D616" s="1"/>
      <c r="E616" s="1"/>
      <c r="F616" s="1"/>
      <c r="H616" s="1"/>
      <c r="I616" s="1"/>
    </row>
    <row r="617" spans="4:9" ht="14">
      <c r="D617" s="1"/>
      <c r="E617" s="1"/>
      <c r="F617" s="1"/>
      <c r="H617" s="1"/>
      <c r="I617" s="1"/>
    </row>
    <row r="618" spans="4:9" ht="14">
      <c r="D618" s="1"/>
      <c r="E618" s="1"/>
      <c r="F618" s="1"/>
      <c r="H618" s="1"/>
      <c r="I618" s="1"/>
    </row>
    <row r="619" spans="4:9" ht="14">
      <c r="D619" s="1"/>
      <c r="E619" s="1"/>
      <c r="F619" s="1"/>
      <c r="H619" s="1"/>
      <c r="I619" s="1"/>
    </row>
    <row r="620" spans="4:9" ht="14">
      <c r="D620" s="1"/>
      <c r="E620" s="1"/>
      <c r="F620" s="1"/>
      <c r="H620" s="1"/>
      <c r="I620" s="1"/>
    </row>
    <row r="621" spans="4:9" ht="14">
      <c r="D621" s="1"/>
      <c r="E621" s="1"/>
      <c r="F621" s="1"/>
      <c r="H621" s="1"/>
      <c r="I621" s="1"/>
    </row>
    <row r="622" spans="4:9" ht="14">
      <c r="D622" s="1"/>
      <c r="E622" s="1"/>
      <c r="F622" s="1"/>
      <c r="H622" s="1"/>
      <c r="I622" s="1"/>
    </row>
    <row r="623" spans="4:9" ht="14">
      <c r="D623" s="1"/>
      <c r="E623" s="1"/>
      <c r="F623" s="1"/>
      <c r="H623" s="1"/>
      <c r="I623" s="1"/>
    </row>
    <row r="624" spans="4:9" ht="14">
      <c r="D624" s="1"/>
      <c r="E624" s="1"/>
      <c r="F624" s="1"/>
      <c r="H624" s="1"/>
      <c r="I624" s="1"/>
    </row>
    <row r="625" spans="4:9" ht="14">
      <c r="D625" s="1"/>
      <c r="E625" s="1"/>
      <c r="F625" s="1"/>
      <c r="H625" s="1"/>
      <c r="I625" s="1"/>
    </row>
    <row r="626" spans="4:9" ht="14">
      <c r="D626" s="1"/>
      <c r="E626" s="1"/>
      <c r="F626" s="1"/>
      <c r="H626" s="1"/>
      <c r="I626" s="1"/>
    </row>
    <row r="627" spans="4:9" ht="14">
      <c r="D627" s="1"/>
      <c r="E627" s="1"/>
      <c r="F627" s="1"/>
      <c r="H627" s="1"/>
      <c r="I627" s="1"/>
    </row>
    <row r="628" spans="4:9" ht="14">
      <c r="D628" s="1"/>
      <c r="E628" s="1"/>
      <c r="F628" s="1"/>
      <c r="H628" s="1"/>
      <c r="I628" s="1"/>
    </row>
    <row r="629" spans="4:9" ht="14">
      <c r="D629" s="1"/>
      <c r="E629" s="1"/>
      <c r="F629" s="1"/>
      <c r="H629" s="1"/>
      <c r="I629" s="1"/>
    </row>
    <row r="630" spans="4:9" ht="14">
      <c r="D630" s="1"/>
      <c r="E630" s="1"/>
      <c r="F630" s="1"/>
      <c r="H630" s="1"/>
      <c r="I630" s="1"/>
    </row>
    <row r="631" spans="4:9" ht="14">
      <c r="D631" s="1"/>
      <c r="E631" s="1"/>
      <c r="F631" s="1"/>
      <c r="H631" s="1"/>
      <c r="I631" s="1"/>
    </row>
    <row r="632" spans="4:9" ht="14">
      <c r="D632" s="1"/>
      <c r="E632" s="1"/>
      <c r="F632" s="1"/>
      <c r="H632" s="1"/>
      <c r="I632" s="1"/>
    </row>
    <row r="633" spans="4:9" ht="14">
      <c r="D633" s="1"/>
      <c r="E633" s="1"/>
      <c r="F633" s="1"/>
      <c r="H633" s="1"/>
      <c r="I633" s="1"/>
    </row>
    <row r="634" spans="4:9" ht="14">
      <c r="D634" s="1"/>
      <c r="E634" s="1"/>
      <c r="F634" s="1"/>
      <c r="H634" s="1"/>
      <c r="I634" s="1"/>
    </row>
    <row r="635" spans="4:9" ht="14">
      <c r="D635" s="1"/>
      <c r="E635" s="1"/>
      <c r="F635" s="1"/>
      <c r="H635" s="1"/>
      <c r="I635" s="1"/>
    </row>
    <row r="636" spans="4:9" ht="14">
      <c r="D636" s="1"/>
      <c r="E636" s="1"/>
      <c r="F636" s="1"/>
      <c r="H636" s="1"/>
      <c r="I636" s="1"/>
    </row>
    <row r="637" spans="4:9" ht="14">
      <c r="D637" s="1"/>
      <c r="E637" s="1"/>
      <c r="F637" s="1"/>
      <c r="H637" s="1"/>
      <c r="I637" s="1"/>
    </row>
    <row r="638" spans="4:9" ht="14">
      <c r="D638" s="1"/>
      <c r="E638" s="1"/>
      <c r="F638" s="1"/>
      <c r="H638" s="1"/>
      <c r="I638" s="1"/>
    </row>
    <row r="639" spans="4:9" ht="14">
      <c r="D639" s="1"/>
      <c r="E639" s="1"/>
      <c r="F639" s="1"/>
      <c r="H639" s="1"/>
      <c r="I639" s="1"/>
    </row>
    <row r="640" spans="4:9" ht="14">
      <c r="D640" s="1"/>
      <c r="E640" s="1"/>
      <c r="F640" s="1"/>
      <c r="H640" s="1"/>
      <c r="I640" s="1"/>
    </row>
    <row r="641" spans="4:9" ht="14">
      <c r="D641" s="1"/>
      <c r="E641" s="1"/>
      <c r="F641" s="1"/>
      <c r="H641" s="1"/>
      <c r="I641" s="1"/>
    </row>
    <row r="642" spans="4:9" ht="14">
      <c r="D642" s="1"/>
      <c r="E642" s="1"/>
      <c r="F642" s="1"/>
      <c r="H642" s="1"/>
      <c r="I642" s="1"/>
    </row>
    <row r="643" spans="4:9" ht="14">
      <c r="D643" s="1"/>
      <c r="E643" s="1"/>
      <c r="F643" s="1"/>
      <c r="H643" s="1"/>
      <c r="I643" s="1"/>
    </row>
    <row r="644" spans="4:9" ht="14">
      <c r="D644" s="1"/>
      <c r="E644" s="1"/>
      <c r="F644" s="1"/>
      <c r="H644" s="1"/>
      <c r="I644" s="1"/>
    </row>
    <row r="645" spans="4:9" ht="14">
      <c r="D645" s="1"/>
      <c r="E645" s="1"/>
      <c r="F645" s="1"/>
      <c r="H645" s="1"/>
      <c r="I645" s="1"/>
    </row>
    <row r="646" spans="4:9" ht="14">
      <c r="D646" s="1"/>
      <c r="E646" s="1"/>
      <c r="F646" s="1"/>
      <c r="H646" s="1"/>
      <c r="I646" s="1"/>
    </row>
    <row r="647" spans="4:9" ht="14">
      <c r="D647" s="1"/>
      <c r="E647" s="1"/>
      <c r="F647" s="1"/>
      <c r="H647" s="1"/>
      <c r="I647" s="1"/>
    </row>
    <row r="648" spans="4:9" ht="14">
      <c r="D648" s="1"/>
      <c r="E648" s="1"/>
      <c r="F648" s="1"/>
      <c r="H648" s="1"/>
      <c r="I648" s="1"/>
    </row>
    <row r="649" spans="4:9" ht="14">
      <c r="D649" s="1"/>
      <c r="E649" s="1"/>
      <c r="F649" s="1"/>
      <c r="H649" s="1"/>
      <c r="I649" s="1"/>
    </row>
    <row r="650" spans="4:9" ht="14">
      <c r="D650" s="1"/>
      <c r="E650" s="1"/>
      <c r="F650" s="1"/>
      <c r="H650" s="1"/>
      <c r="I650" s="1"/>
    </row>
    <row r="651" spans="4:9" ht="14">
      <c r="D651" s="1"/>
      <c r="E651" s="1"/>
      <c r="F651" s="1"/>
      <c r="H651" s="1"/>
      <c r="I651" s="1"/>
    </row>
    <row r="652" spans="4:9" ht="14">
      <c r="D652" s="1"/>
      <c r="E652" s="1"/>
      <c r="F652" s="1"/>
      <c r="H652" s="1"/>
      <c r="I652" s="1"/>
    </row>
    <row r="653" spans="4:9" ht="14">
      <c r="D653" s="1"/>
      <c r="E653" s="1"/>
      <c r="F653" s="1"/>
      <c r="H653" s="1"/>
      <c r="I653" s="1"/>
    </row>
    <row r="654" spans="4:9" ht="14">
      <c r="D654" s="1"/>
      <c r="E654" s="1"/>
      <c r="F654" s="1"/>
      <c r="H654" s="1"/>
      <c r="I654" s="1"/>
    </row>
    <row r="655" spans="4:9" ht="14">
      <c r="D655" s="1"/>
      <c r="E655" s="1"/>
      <c r="F655" s="1"/>
      <c r="H655" s="1"/>
      <c r="I655" s="1"/>
    </row>
    <row r="656" spans="4:9" ht="14">
      <c r="D656" s="1"/>
      <c r="E656" s="1"/>
      <c r="F656" s="1"/>
      <c r="H656" s="1"/>
      <c r="I656" s="1"/>
    </row>
    <row r="657" spans="4:9" ht="14">
      <c r="D657" s="1"/>
      <c r="E657" s="1"/>
      <c r="F657" s="1"/>
      <c r="H657" s="1"/>
      <c r="I657" s="1"/>
    </row>
    <row r="658" spans="4:9" ht="14">
      <c r="D658" s="1"/>
      <c r="E658" s="1"/>
      <c r="F658" s="1"/>
      <c r="H658" s="1"/>
      <c r="I658" s="1"/>
    </row>
    <row r="659" spans="4:9" ht="14">
      <c r="D659" s="1"/>
      <c r="E659" s="1"/>
      <c r="F659" s="1"/>
      <c r="H659" s="1"/>
      <c r="I659" s="1"/>
    </row>
    <row r="660" spans="4:9" ht="14">
      <c r="D660" s="1"/>
      <c r="E660" s="1"/>
      <c r="F660" s="1"/>
      <c r="H660" s="1"/>
      <c r="I660" s="1"/>
    </row>
    <row r="661" spans="4:9" ht="14">
      <c r="D661" s="1"/>
      <c r="E661" s="1"/>
      <c r="F661" s="1"/>
      <c r="H661" s="1"/>
      <c r="I661" s="1"/>
    </row>
    <row r="662" spans="4:9" ht="14">
      <c r="D662" s="1"/>
      <c r="E662" s="1"/>
      <c r="F662" s="1"/>
      <c r="H662" s="1"/>
      <c r="I662" s="1"/>
    </row>
    <row r="663" spans="4:9" ht="14">
      <c r="D663" s="1"/>
      <c r="E663" s="1"/>
      <c r="F663" s="1"/>
      <c r="H663" s="1"/>
      <c r="I663" s="1"/>
    </row>
    <row r="664" spans="4:9" ht="14">
      <c r="D664" s="1"/>
      <c r="E664" s="1"/>
      <c r="F664" s="1"/>
      <c r="H664" s="1"/>
      <c r="I664" s="1"/>
    </row>
    <row r="665" spans="4:9" ht="14">
      <c r="D665" s="1"/>
      <c r="E665" s="1"/>
      <c r="F665" s="1"/>
      <c r="H665" s="1"/>
      <c r="I665" s="1"/>
    </row>
    <row r="666" spans="4:9" ht="14">
      <c r="D666" s="1"/>
      <c r="E666" s="1"/>
      <c r="F666" s="1"/>
      <c r="H666" s="1"/>
      <c r="I666" s="1"/>
    </row>
    <row r="667" spans="4:9" ht="14">
      <c r="D667" s="1"/>
      <c r="E667" s="1"/>
      <c r="F667" s="1"/>
      <c r="H667" s="1"/>
      <c r="I667" s="1"/>
    </row>
    <row r="668" spans="4:9" ht="14">
      <c r="D668" s="1"/>
      <c r="E668" s="1"/>
      <c r="F668" s="1"/>
      <c r="H668" s="1"/>
      <c r="I668" s="1"/>
    </row>
    <row r="669" spans="4:9" ht="14">
      <c r="D669" s="1"/>
      <c r="E669" s="1"/>
      <c r="F669" s="1"/>
      <c r="H669" s="1"/>
      <c r="I669" s="1"/>
    </row>
    <row r="670" spans="4:9" ht="14">
      <c r="D670" s="1"/>
      <c r="E670" s="1"/>
      <c r="F670" s="1"/>
      <c r="H670" s="1"/>
      <c r="I670" s="1"/>
    </row>
    <row r="671" spans="4:9" ht="14">
      <c r="D671" s="1"/>
      <c r="E671" s="1"/>
      <c r="F671" s="1"/>
      <c r="H671" s="1"/>
      <c r="I671" s="1"/>
    </row>
    <row r="672" spans="4:9" ht="14">
      <c r="D672" s="1"/>
      <c r="E672" s="1"/>
      <c r="F672" s="1"/>
      <c r="H672" s="1"/>
      <c r="I672" s="1"/>
    </row>
    <row r="673" spans="4:9" ht="14">
      <c r="D673" s="1"/>
      <c r="E673" s="1"/>
      <c r="F673" s="1"/>
      <c r="H673" s="1"/>
      <c r="I673" s="1"/>
    </row>
    <row r="674" spans="4:9" ht="14">
      <c r="D674" s="1"/>
      <c r="E674" s="1"/>
      <c r="F674" s="1"/>
      <c r="H674" s="1"/>
      <c r="I674" s="1"/>
    </row>
    <row r="675" spans="4:9" ht="14">
      <c r="D675" s="1"/>
      <c r="E675" s="1"/>
      <c r="F675" s="1"/>
      <c r="H675" s="1"/>
      <c r="I675" s="1"/>
    </row>
    <row r="676" spans="4:9" ht="14">
      <c r="D676" s="1"/>
      <c r="E676" s="1"/>
      <c r="F676" s="1"/>
      <c r="H676" s="1"/>
      <c r="I676" s="1"/>
    </row>
    <row r="677" spans="4:9" ht="14">
      <c r="D677" s="1"/>
      <c r="E677" s="1"/>
      <c r="F677" s="1"/>
      <c r="H677" s="1"/>
      <c r="I677" s="1"/>
    </row>
    <row r="678" spans="4:9" ht="14">
      <c r="D678" s="1"/>
      <c r="E678" s="1"/>
      <c r="F678" s="1"/>
      <c r="H678" s="1"/>
      <c r="I678" s="1"/>
    </row>
    <row r="679" spans="4:9" ht="14">
      <c r="D679" s="1"/>
      <c r="E679" s="1"/>
      <c r="F679" s="1"/>
      <c r="H679" s="1"/>
      <c r="I679" s="1"/>
    </row>
    <row r="680" spans="4:9" ht="14">
      <c r="D680" s="1"/>
      <c r="E680" s="1"/>
      <c r="F680" s="1"/>
      <c r="H680" s="1"/>
      <c r="I680" s="1"/>
    </row>
    <row r="681" spans="4:9" ht="14">
      <c r="D681" s="1"/>
      <c r="E681" s="1"/>
      <c r="F681" s="1"/>
      <c r="H681" s="1"/>
      <c r="I681" s="1"/>
    </row>
    <row r="682" spans="4:9" ht="14">
      <c r="D682" s="1"/>
      <c r="E682" s="1"/>
      <c r="F682" s="1"/>
      <c r="H682" s="1"/>
      <c r="I682" s="1"/>
    </row>
    <row r="683" spans="4:9" ht="14">
      <c r="D683" s="1"/>
      <c r="E683" s="1"/>
      <c r="F683" s="1"/>
      <c r="H683" s="1"/>
      <c r="I683" s="1"/>
    </row>
    <row r="684" spans="4:9" ht="14">
      <c r="D684" s="1"/>
      <c r="E684" s="1"/>
      <c r="F684" s="1"/>
      <c r="H684" s="1"/>
      <c r="I684" s="1"/>
    </row>
    <row r="685" spans="4:9" ht="14">
      <c r="D685" s="1"/>
      <c r="E685" s="1"/>
      <c r="F685" s="1"/>
      <c r="H685" s="1"/>
      <c r="I685" s="1"/>
    </row>
    <row r="686" spans="4:9" ht="14">
      <c r="D686" s="1"/>
      <c r="E686" s="1"/>
      <c r="F686" s="1"/>
      <c r="H686" s="1"/>
      <c r="I686" s="1"/>
    </row>
    <row r="687" spans="4:9" ht="14">
      <c r="D687" s="1"/>
      <c r="E687" s="1"/>
      <c r="F687" s="1"/>
      <c r="H687" s="1"/>
      <c r="I687" s="1"/>
    </row>
    <row r="688" spans="4:9" ht="14">
      <c r="D688" s="1"/>
      <c r="E688" s="1"/>
      <c r="F688" s="1"/>
      <c r="H688" s="1"/>
      <c r="I688" s="1"/>
    </row>
    <row r="689" spans="4:9" ht="14">
      <c r="D689" s="1"/>
      <c r="E689" s="1"/>
      <c r="F689" s="1"/>
      <c r="H689" s="1"/>
      <c r="I689" s="1"/>
    </row>
    <row r="690" spans="4:9" ht="14">
      <c r="D690" s="1"/>
      <c r="E690" s="1"/>
      <c r="F690" s="1"/>
      <c r="H690" s="1"/>
      <c r="I690" s="1"/>
    </row>
    <row r="691" spans="4:9" ht="14">
      <c r="D691" s="1"/>
      <c r="E691" s="1"/>
      <c r="F691" s="1"/>
      <c r="H691" s="1"/>
      <c r="I691" s="1"/>
    </row>
    <row r="692" spans="4:9" ht="14">
      <c r="D692" s="1"/>
      <c r="E692" s="1"/>
      <c r="F692" s="1"/>
      <c r="H692" s="1"/>
      <c r="I692" s="1"/>
    </row>
    <row r="693" spans="4:9" ht="14">
      <c r="D693" s="1"/>
      <c r="E693" s="1"/>
      <c r="F693" s="1"/>
      <c r="H693" s="1"/>
      <c r="I693" s="1"/>
    </row>
    <row r="694" spans="4:9" ht="14">
      <c r="D694" s="1"/>
      <c r="E694" s="1"/>
      <c r="F694" s="1"/>
      <c r="H694" s="1"/>
      <c r="I694" s="1"/>
    </row>
    <row r="695" spans="4:9" ht="14">
      <c r="D695" s="1"/>
      <c r="E695" s="1"/>
      <c r="F695" s="1"/>
      <c r="H695" s="1"/>
      <c r="I695" s="1"/>
    </row>
    <row r="696" spans="4:9" ht="14">
      <c r="D696" s="1"/>
      <c r="E696" s="1"/>
      <c r="F696" s="1"/>
      <c r="H696" s="1"/>
      <c r="I696" s="1"/>
    </row>
    <row r="697" spans="4:9" ht="14">
      <c r="D697" s="1"/>
      <c r="E697" s="1"/>
      <c r="F697" s="1"/>
      <c r="H697" s="1"/>
      <c r="I697" s="1"/>
    </row>
    <row r="698" spans="4:9" ht="14">
      <c r="D698" s="1"/>
      <c r="E698" s="1"/>
      <c r="F698" s="1"/>
      <c r="H698" s="1"/>
      <c r="I698" s="1"/>
    </row>
    <row r="699" spans="4:9" ht="14">
      <c r="D699" s="1"/>
      <c r="E699" s="1"/>
      <c r="F699" s="1"/>
      <c r="H699" s="1"/>
      <c r="I699" s="1"/>
    </row>
    <row r="700" spans="4:9" ht="14">
      <c r="D700" s="1"/>
      <c r="E700" s="1"/>
      <c r="F700" s="1"/>
      <c r="H700" s="1"/>
      <c r="I700" s="1"/>
    </row>
    <row r="701" spans="4:9" ht="14">
      <c r="D701" s="1"/>
      <c r="E701" s="1"/>
      <c r="F701" s="1"/>
      <c r="H701" s="1"/>
      <c r="I701" s="1"/>
    </row>
    <row r="702" spans="4:9" ht="14">
      <c r="D702" s="1"/>
      <c r="E702" s="1"/>
      <c r="F702" s="1"/>
      <c r="H702" s="1"/>
      <c r="I702" s="1"/>
    </row>
    <row r="703" spans="4:9" ht="14">
      <c r="D703" s="1"/>
      <c r="E703" s="1"/>
      <c r="F703" s="1"/>
      <c r="H703" s="1"/>
      <c r="I703" s="1"/>
    </row>
    <row r="704" spans="4:9" ht="14">
      <c r="D704" s="1"/>
      <c r="E704" s="1"/>
      <c r="F704" s="1"/>
      <c r="H704" s="1"/>
      <c r="I704" s="1"/>
    </row>
    <row r="705" spans="4:9" ht="14">
      <c r="D705" s="1"/>
      <c r="E705" s="1"/>
      <c r="F705" s="1"/>
      <c r="H705" s="1"/>
      <c r="I705" s="1"/>
    </row>
    <row r="706" spans="4:9" ht="14">
      <c r="D706" s="1"/>
      <c r="E706" s="1"/>
      <c r="F706" s="1"/>
      <c r="H706" s="1"/>
      <c r="I706" s="1"/>
    </row>
    <row r="707" spans="4:9" ht="14">
      <c r="D707" s="1"/>
      <c r="E707" s="1"/>
      <c r="F707" s="1"/>
      <c r="H707" s="1"/>
      <c r="I707" s="1"/>
    </row>
    <row r="708" spans="4:9" ht="14">
      <c r="D708" s="1"/>
      <c r="E708" s="1"/>
      <c r="F708" s="1"/>
      <c r="H708" s="1"/>
      <c r="I708" s="1"/>
    </row>
    <row r="709" spans="4:9" ht="14">
      <c r="D709" s="1"/>
      <c r="E709" s="1"/>
      <c r="F709" s="1"/>
      <c r="H709" s="1"/>
      <c r="I709" s="1"/>
    </row>
    <row r="710" spans="4:9" ht="14">
      <c r="D710" s="1"/>
      <c r="E710" s="1"/>
      <c r="F710" s="1"/>
      <c r="H710" s="1"/>
      <c r="I710" s="1"/>
    </row>
    <row r="711" spans="4:9" ht="14">
      <c r="D711" s="1"/>
      <c r="E711" s="1"/>
      <c r="F711" s="1"/>
      <c r="H711" s="1"/>
      <c r="I711" s="1"/>
    </row>
    <row r="712" spans="4:9" ht="14">
      <c r="D712" s="1"/>
      <c r="E712" s="1"/>
      <c r="F712" s="1"/>
      <c r="H712" s="1"/>
      <c r="I712" s="1"/>
    </row>
    <row r="713" spans="4:9" ht="14">
      <c r="D713" s="1"/>
      <c r="E713" s="1"/>
      <c r="F713" s="1"/>
      <c r="H713" s="1"/>
      <c r="I713" s="1"/>
    </row>
    <row r="714" spans="4:9" ht="14">
      <c r="D714" s="1"/>
      <c r="E714" s="1"/>
      <c r="F714" s="1"/>
      <c r="H714" s="1"/>
      <c r="I714" s="1"/>
    </row>
    <row r="715" spans="4:9" ht="14">
      <c r="D715" s="1"/>
      <c r="E715" s="1"/>
      <c r="F715" s="1"/>
      <c r="H715" s="1"/>
      <c r="I715" s="1"/>
    </row>
    <row r="716" spans="4:9" ht="14">
      <c r="D716" s="1"/>
      <c r="E716" s="1"/>
      <c r="F716" s="1"/>
      <c r="H716" s="1"/>
      <c r="I716" s="1"/>
    </row>
    <row r="717" spans="4:9" ht="14">
      <c r="D717" s="1"/>
      <c r="E717" s="1"/>
      <c r="F717" s="1"/>
      <c r="H717" s="1"/>
      <c r="I717" s="1"/>
    </row>
    <row r="718" spans="4:9" ht="14">
      <c r="D718" s="1"/>
      <c r="E718" s="1"/>
      <c r="F718" s="1"/>
      <c r="H718" s="1"/>
      <c r="I718" s="1"/>
    </row>
    <row r="719" spans="4:9" ht="14">
      <c r="D719" s="1"/>
      <c r="E719" s="1"/>
      <c r="F719" s="1"/>
      <c r="H719" s="1"/>
      <c r="I719" s="1"/>
    </row>
    <row r="720" spans="4:9" ht="14">
      <c r="D720" s="1"/>
      <c r="E720" s="1"/>
      <c r="F720" s="1"/>
      <c r="H720" s="1"/>
      <c r="I720" s="1"/>
    </row>
    <row r="721" spans="4:9" ht="14">
      <c r="D721" s="1"/>
      <c r="E721" s="1"/>
      <c r="F721" s="1"/>
      <c r="H721" s="1"/>
      <c r="I721" s="1"/>
    </row>
    <row r="722" spans="4:9" ht="14">
      <c r="D722" s="1"/>
      <c r="E722" s="1"/>
      <c r="F722" s="1"/>
      <c r="H722" s="1"/>
      <c r="I722" s="1"/>
    </row>
    <row r="723" spans="4:9" ht="14">
      <c r="D723" s="1"/>
      <c r="E723" s="1"/>
      <c r="F723" s="1"/>
      <c r="H723" s="1"/>
      <c r="I723" s="1"/>
    </row>
    <row r="724" spans="4:9" ht="14">
      <c r="D724" s="1"/>
      <c r="E724" s="1"/>
      <c r="F724" s="1"/>
      <c r="H724" s="1"/>
      <c r="I724" s="1"/>
    </row>
    <row r="725" spans="4:9" ht="14">
      <c r="D725" s="1"/>
      <c r="E725" s="1"/>
      <c r="F725" s="1"/>
      <c r="H725" s="1"/>
      <c r="I725" s="1"/>
    </row>
    <row r="726" spans="4:9" ht="14">
      <c r="D726" s="1"/>
      <c r="E726" s="1"/>
      <c r="F726" s="1"/>
      <c r="H726" s="1"/>
      <c r="I726" s="1"/>
    </row>
    <row r="727" spans="4:9" ht="14">
      <c r="D727" s="1"/>
      <c r="E727" s="1"/>
      <c r="F727" s="1"/>
      <c r="H727" s="1"/>
      <c r="I727" s="1"/>
    </row>
    <row r="728" spans="4:9" ht="14">
      <c r="D728" s="1"/>
      <c r="E728" s="1"/>
      <c r="F728" s="1"/>
      <c r="H728" s="1"/>
      <c r="I728" s="1"/>
    </row>
    <row r="729" spans="4:9" ht="14">
      <c r="D729" s="1"/>
      <c r="E729" s="1"/>
      <c r="F729" s="1"/>
      <c r="H729" s="1"/>
      <c r="I729" s="1"/>
    </row>
    <row r="730" spans="4:9" ht="14">
      <c r="D730" s="1"/>
      <c r="E730" s="1"/>
      <c r="F730" s="1"/>
      <c r="H730" s="1"/>
      <c r="I730" s="1"/>
    </row>
    <row r="731" spans="4:9" ht="14">
      <c r="D731" s="1"/>
      <c r="E731" s="1"/>
      <c r="F731" s="1"/>
      <c r="H731" s="1"/>
      <c r="I731" s="1"/>
    </row>
    <row r="732" spans="4:9" ht="14">
      <c r="D732" s="1"/>
      <c r="E732" s="1"/>
      <c r="F732" s="1"/>
      <c r="H732" s="1"/>
      <c r="I732" s="1"/>
    </row>
    <row r="733" spans="4:9" ht="14">
      <c r="D733" s="1"/>
      <c r="E733" s="1"/>
      <c r="F733" s="1"/>
      <c r="H733" s="1"/>
      <c r="I733" s="1"/>
    </row>
    <row r="734" spans="4:9" ht="14">
      <c r="D734" s="1"/>
      <c r="E734" s="1"/>
      <c r="F734" s="1"/>
      <c r="H734" s="1"/>
      <c r="I734" s="1"/>
    </row>
    <row r="735" spans="4:9" ht="14">
      <c r="D735" s="1"/>
      <c r="E735" s="1"/>
      <c r="F735" s="1"/>
      <c r="H735" s="1"/>
      <c r="I735" s="1"/>
    </row>
    <row r="736" spans="4:9" ht="14">
      <c r="D736" s="1"/>
      <c r="E736" s="1"/>
      <c r="F736" s="1"/>
      <c r="H736" s="1"/>
      <c r="I736" s="1"/>
    </row>
    <row r="737" spans="4:9" ht="14">
      <c r="D737" s="1"/>
      <c r="E737" s="1"/>
      <c r="F737" s="1"/>
      <c r="H737" s="1"/>
      <c r="I737" s="1"/>
    </row>
    <row r="738" spans="4:9" ht="14">
      <c r="D738" s="1"/>
      <c r="E738" s="1"/>
      <c r="F738" s="1"/>
      <c r="H738" s="1"/>
      <c r="I738" s="1"/>
    </row>
    <row r="739" spans="4:9" ht="14">
      <c r="D739" s="1"/>
      <c r="E739" s="1"/>
      <c r="F739" s="1"/>
      <c r="H739" s="1"/>
      <c r="I739" s="1"/>
    </row>
    <row r="740" spans="4:9" ht="14">
      <c r="D740" s="1"/>
      <c r="E740" s="1"/>
      <c r="F740" s="1"/>
      <c r="H740" s="1"/>
      <c r="I740" s="1"/>
    </row>
    <row r="741" spans="4:9" ht="14">
      <c r="D741" s="1"/>
      <c r="E741" s="1"/>
      <c r="F741" s="1"/>
      <c r="H741" s="1"/>
      <c r="I741" s="1"/>
    </row>
    <row r="742" spans="4:9" ht="14">
      <c r="D742" s="1"/>
      <c r="E742" s="1"/>
      <c r="F742" s="1"/>
      <c r="H742" s="1"/>
      <c r="I742" s="1"/>
    </row>
    <row r="743" spans="4:9" ht="14">
      <c r="D743" s="1"/>
      <c r="E743" s="1"/>
      <c r="F743" s="1"/>
      <c r="H743" s="1"/>
      <c r="I743" s="1"/>
    </row>
    <row r="744" spans="4:9" ht="14">
      <c r="D744" s="1"/>
      <c r="E744" s="1"/>
      <c r="F744" s="1"/>
      <c r="H744" s="1"/>
      <c r="I744" s="1"/>
    </row>
    <row r="745" spans="4:9" ht="14">
      <c r="D745" s="1"/>
      <c r="E745" s="1"/>
      <c r="F745" s="1"/>
      <c r="H745" s="1"/>
      <c r="I745" s="1"/>
    </row>
    <row r="746" spans="4:9" ht="14">
      <c r="D746" s="1"/>
      <c r="E746" s="1"/>
      <c r="F746" s="1"/>
      <c r="H746" s="1"/>
      <c r="I746" s="1"/>
    </row>
    <row r="747" spans="4:9" ht="14">
      <c r="D747" s="1"/>
      <c r="E747" s="1"/>
      <c r="F747" s="1"/>
      <c r="H747" s="1"/>
      <c r="I747" s="1"/>
    </row>
    <row r="748" spans="4:9" ht="14">
      <c r="D748" s="1"/>
      <c r="E748" s="1"/>
      <c r="F748" s="1"/>
      <c r="H748" s="1"/>
      <c r="I748" s="1"/>
    </row>
    <row r="749" spans="4:9" ht="14">
      <c r="D749" s="1"/>
      <c r="E749" s="1"/>
      <c r="F749" s="1"/>
      <c r="H749" s="1"/>
      <c r="I749" s="1"/>
    </row>
    <row r="750" spans="4:9" ht="14">
      <c r="D750" s="1"/>
      <c r="E750" s="1"/>
      <c r="F750" s="1"/>
      <c r="H750" s="1"/>
      <c r="I750" s="1"/>
    </row>
    <row r="751" spans="4:9" ht="14">
      <c r="D751" s="1"/>
      <c r="E751" s="1"/>
      <c r="F751" s="1"/>
      <c r="H751" s="1"/>
      <c r="I751" s="1"/>
    </row>
    <row r="752" spans="4:9" ht="14">
      <c r="D752" s="1"/>
      <c r="E752" s="1"/>
      <c r="F752" s="1"/>
      <c r="H752" s="1"/>
      <c r="I752" s="1"/>
    </row>
    <row r="753" spans="4:9" ht="14">
      <c r="D753" s="1"/>
      <c r="E753" s="1"/>
      <c r="F753" s="1"/>
      <c r="H753" s="1"/>
      <c r="I753" s="1"/>
    </row>
    <row r="754" spans="4:9" ht="14">
      <c r="D754" s="1"/>
      <c r="E754" s="1"/>
      <c r="F754" s="1"/>
      <c r="H754" s="1"/>
      <c r="I754" s="1"/>
    </row>
    <row r="755" spans="4:9" ht="14">
      <c r="D755" s="1"/>
      <c r="E755" s="1"/>
      <c r="F755" s="1"/>
      <c r="H755" s="1"/>
      <c r="I755" s="1"/>
    </row>
    <row r="756" spans="4:9" ht="14">
      <c r="D756" s="1"/>
      <c r="E756" s="1"/>
      <c r="F756" s="1"/>
      <c r="H756" s="1"/>
      <c r="I756" s="1"/>
    </row>
    <row r="757" spans="4:9" ht="14">
      <c r="D757" s="1"/>
      <c r="E757" s="1"/>
      <c r="F757" s="1"/>
      <c r="H757" s="1"/>
      <c r="I757" s="1"/>
    </row>
    <row r="758" spans="4:9" ht="14">
      <c r="D758" s="1"/>
      <c r="E758" s="1"/>
      <c r="F758" s="1"/>
      <c r="H758" s="1"/>
      <c r="I758" s="1"/>
    </row>
    <row r="759" spans="4:9" ht="14">
      <c r="D759" s="1"/>
      <c r="E759" s="1"/>
      <c r="F759" s="1"/>
      <c r="H759" s="1"/>
      <c r="I759" s="1"/>
    </row>
    <row r="760" spans="4:9" ht="14">
      <c r="D760" s="1"/>
      <c r="E760" s="1"/>
      <c r="F760" s="1"/>
      <c r="H760" s="1"/>
      <c r="I760" s="1"/>
    </row>
    <row r="761" spans="4:9" ht="14">
      <c r="D761" s="1"/>
      <c r="E761" s="1"/>
      <c r="F761" s="1"/>
      <c r="H761" s="1"/>
      <c r="I761" s="1"/>
    </row>
    <row r="762" spans="4:9" ht="14">
      <c r="D762" s="1"/>
      <c r="E762" s="1"/>
      <c r="F762" s="1"/>
      <c r="H762" s="1"/>
      <c r="I762" s="1"/>
    </row>
    <row r="763" spans="4:9" ht="14">
      <c r="D763" s="1"/>
      <c r="E763" s="1"/>
      <c r="F763" s="1"/>
      <c r="H763" s="1"/>
      <c r="I763" s="1"/>
    </row>
    <row r="764" spans="4:9" ht="14">
      <c r="D764" s="1"/>
      <c r="E764" s="1"/>
      <c r="F764" s="1"/>
      <c r="H764" s="1"/>
      <c r="I764" s="1"/>
    </row>
    <row r="765" spans="4:9" ht="14">
      <c r="D765" s="1"/>
      <c r="E765" s="1"/>
      <c r="F765" s="1"/>
      <c r="H765" s="1"/>
      <c r="I765" s="1"/>
    </row>
    <row r="766" spans="4:9" ht="14">
      <c r="D766" s="1"/>
      <c r="E766" s="1"/>
      <c r="F766" s="1"/>
      <c r="H766" s="1"/>
      <c r="I766" s="1"/>
    </row>
    <row r="767" spans="4:9" ht="14">
      <c r="D767" s="1"/>
      <c r="E767" s="1"/>
      <c r="F767" s="1"/>
      <c r="H767" s="1"/>
      <c r="I767" s="1"/>
    </row>
    <row r="768" spans="4:9" ht="14">
      <c r="D768" s="1"/>
      <c r="E768" s="1"/>
      <c r="F768" s="1"/>
      <c r="H768" s="1"/>
      <c r="I768" s="1"/>
    </row>
    <row r="769" spans="4:9" ht="14">
      <c r="D769" s="1"/>
      <c r="E769" s="1"/>
      <c r="F769" s="1"/>
      <c r="H769" s="1"/>
      <c r="I769" s="1"/>
    </row>
    <row r="770" spans="4:9" ht="14">
      <c r="D770" s="1"/>
      <c r="E770" s="1"/>
      <c r="F770" s="1"/>
      <c r="H770" s="1"/>
      <c r="I770" s="1"/>
    </row>
    <row r="771" spans="4:9" ht="14">
      <c r="D771" s="1"/>
      <c r="E771" s="1"/>
      <c r="F771" s="1"/>
      <c r="H771" s="1"/>
      <c r="I771" s="1"/>
    </row>
    <row r="772" spans="4:9" ht="14">
      <c r="D772" s="1"/>
      <c r="E772" s="1"/>
      <c r="F772" s="1"/>
      <c r="H772" s="1"/>
      <c r="I772" s="1"/>
    </row>
    <row r="773" spans="4:9" ht="14">
      <c r="D773" s="1"/>
      <c r="E773" s="1"/>
      <c r="F773" s="1"/>
      <c r="H773" s="1"/>
      <c r="I773" s="1"/>
    </row>
    <row r="774" spans="4:9" ht="14">
      <c r="D774" s="1"/>
      <c r="E774" s="1"/>
      <c r="F774" s="1"/>
      <c r="H774" s="1"/>
      <c r="I774" s="1"/>
    </row>
    <row r="775" spans="4:9" ht="14">
      <c r="D775" s="1"/>
      <c r="E775" s="1"/>
      <c r="F775" s="1"/>
      <c r="H775" s="1"/>
      <c r="I775" s="1"/>
    </row>
    <row r="776" spans="4:9" ht="14">
      <c r="D776" s="1"/>
      <c r="E776" s="1"/>
      <c r="F776" s="1"/>
      <c r="H776" s="1"/>
      <c r="I776" s="1"/>
    </row>
    <row r="777" spans="4:9" ht="14">
      <c r="D777" s="1"/>
      <c r="E777" s="1"/>
      <c r="F777" s="1"/>
      <c r="H777" s="1"/>
      <c r="I777" s="1"/>
    </row>
    <row r="778" spans="4:9" ht="14">
      <c r="D778" s="1"/>
      <c r="E778" s="1"/>
      <c r="F778" s="1"/>
      <c r="H778" s="1"/>
      <c r="I778" s="1"/>
    </row>
    <row r="779" spans="4:9" ht="14">
      <c r="D779" s="1"/>
      <c r="E779" s="1"/>
      <c r="F779" s="1"/>
      <c r="H779" s="1"/>
      <c r="I779" s="1"/>
    </row>
    <row r="780" spans="4:9" ht="14">
      <c r="D780" s="1"/>
      <c r="E780" s="1"/>
      <c r="F780" s="1"/>
      <c r="H780" s="1"/>
      <c r="I780" s="1"/>
    </row>
    <row r="781" spans="4:9" ht="14">
      <c r="D781" s="1"/>
      <c r="E781" s="1"/>
      <c r="F781" s="1"/>
      <c r="H781" s="1"/>
      <c r="I781" s="1"/>
    </row>
    <row r="782" spans="4:9" ht="14">
      <c r="D782" s="1"/>
      <c r="E782" s="1"/>
      <c r="F782" s="1"/>
      <c r="H782" s="1"/>
      <c r="I782" s="1"/>
    </row>
    <row r="783" spans="4:9" ht="14">
      <c r="D783" s="1"/>
      <c r="E783" s="1"/>
      <c r="F783" s="1"/>
      <c r="H783" s="1"/>
      <c r="I783" s="1"/>
    </row>
    <row r="784" spans="4:9" ht="14">
      <c r="D784" s="1"/>
      <c r="E784" s="1"/>
      <c r="F784" s="1"/>
      <c r="H784" s="1"/>
      <c r="I784" s="1"/>
    </row>
    <row r="785" spans="4:9" ht="14">
      <c r="D785" s="1"/>
      <c r="E785" s="1"/>
      <c r="F785" s="1"/>
      <c r="H785" s="1"/>
      <c r="I785" s="1"/>
    </row>
    <row r="786" spans="4:9" ht="14">
      <c r="D786" s="1"/>
      <c r="E786" s="1"/>
      <c r="F786" s="1"/>
      <c r="H786" s="1"/>
      <c r="I786" s="1"/>
    </row>
    <row r="787" spans="4:9" ht="14">
      <c r="D787" s="1"/>
      <c r="E787" s="1"/>
      <c r="F787" s="1"/>
      <c r="H787" s="1"/>
      <c r="I787" s="1"/>
    </row>
    <row r="788" spans="4:9" ht="14">
      <c r="D788" s="1"/>
      <c r="E788" s="1"/>
      <c r="F788" s="1"/>
      <c r="H788" s="1"/>
      <c r="I788" s="1"/>
    </row>
    <row r="789" spans="4:9" ht="14">
      <c r="D789" s="1"/>
      <c r="E789" s="1"/>
      <c r="F789" s="1"/>
      <c r="H789" s="1"/>
      <c r="I789" s="1"/>
    </row>
    <row r="790" spans="4:9" ht="14">
      <c r="D790" s="1"/>
      <c r="E790" s="1"/>
      <c r="F790" s="1"/>
      <c r="H790" s="1"/>
      <c r="I790" s="1"/>
    </row>
    <row r="791" spans="4:9" ht="14">
      <c r="D791" s="1"/>
      <c r="E791" s="1"/>
      <c r="F791" s="1"/>
      <c r="H791" s="1"/>
      <c r="I791" s="1"/>
    </row>
    <row r="792" spans="4:9" ht="14">
      <c r="D792" s="1"/>
      <c r="E792" s="1"/>
      <c r="F792" s="1"/>
      <c r="H792" s="1"/>
      <c r="I792" s="1"/>
    </row>
    <row r="793" spans="4:9" ht="14">
      <c r="D793" s="1"/>
      <c r="E793" s="1"/>
      <c r="F793" s="1"/>
      <c r="H793" s="1"/>
      <c r="I793" s="1"/>
    </row>
    <row r="794" spans="4:9" ht="14">
      <c r="D794" s="1"/>
      <c r="E794" s="1"/>
      <c r="F794" s="1"/>
      <c r="H794" s="1"/>
      <c r="I794" s="1"/>
    </row>
    <row r="795" spans="4:9" ht="14">
      <c r="D795" s="1"/>
      <c r="E795" s="1"/>
      <c r="F795" s="1"/>
      <c r="H795" s="1"/>
      <c r="I795" s="1"/>
    </row>
    <row r="796" spans="4:9" ht="14">
      <c r="D796" s="1"/>
      <c r="E796" s="1"/>
      <c r="F796" s="1"/>
      <c r="H796" s="1"/>
      <c r="I796" s="1"/>
    </row>
    <row r="797" spans="4:9" ht="14">
      <c r="D797" s="1"/>
      <c r="E797" s="1"/>
      <c r="F797" s="1"/>
      <c r="H797" s="1"/>
      <c r="I797" s="1"/>
    </row>
    <row r="798" spans="4:9" ht="14">
      <c r="D798" s="1"/>
      <c r="E798" s="1"/>
      <c r="F798" s="1"/>
      <c r="H798" s="1"/>
      <c r="I798" s="1"/>
    </row>
    <row r="799" spans="4:9" ht="14">
      <c r="D799" s="1"/>
      <c r="E799" s="1"/>
      <c r="F799" s="1"/>
      <c r="H799" s="1"/>
      <c r="I799" s="1"/>
    </row>
    <row r="800" spans="4:9" ht="14">
      <c r="D800" s="1"/>
      <c r="E800" s="1"/>
      <c r="F800" s="1"/>
      <c r="H800" s="1"/>
      <c r="I800" s="1"/>
    </row>
    <row r="801" spans="4:9" ht="14">
      <c r="D801" s="1"/>
      <c r="E801" s="1"/>
      <c r="F801" s="1"/>
      <c r="H801" s="1"/>
      <c r="I801" s="1"/>
    </row>
    <row r="802" spans="4:9" ht="14">
      <c r="D802" s="1"/>
      <c r="E802" s="1"/>
      <c r="F802" s="1"/>
      <c r="H802" s="1"/>
      <c r="I802" s="1"/>
    </row>
    <row r="803" spans="4:9" ht="14">
      <c r="D803" s="1"/>
      <c r="E803" s="1"/>
      <c r="F803" s="1"/>
      <c r="H803" s="1"/>
      <c r="I803" s="1"/>
    </row>
    <row r="804" spans="4:9" ht="14">
      <c r="D804" s="1"/>
      <c r="E804" s="1"/>
      <c r="F804" s="1"/>
      <c r="H804" s="1"/>
      <c r="I804" s="1"/>
    </row>
    <row r="805" spans="4:9" ht="14">
      <c r="D805" s="1"/>
      <c r="E805" s="1"/>
      <c r="F805" s="1"/>
      <c r="H805" s="1"/>
      <c r="I805" s="1"/>
    </row>
    <row r="806" spans="4:9" ht="14">
      <c r="D806" s="1"/>
      <c r="E806" s="1"/>
      <c r="F806" s="1"/>
      <c r="H806" s="1"/>
      <c r="I806" s="1"/>
    </row>
    <row r="807" spans="4:9" ht="14">
      <c r="D807" s="1"/>
      <c r="E807" s="1"/>
      <c r="F807" s="1"/>
      <c r="H807" s="1"/>
      <c r="I807" s="1"/>
    </row>
    <row r="808" spans="4:9" ht="14">
      <c r="D808" s="1"/>
      <c r="E808" s="1"/>
      <c r="F808" s="1"/>
      <c r="H808" s="1"/>
      <c r="I808" s="1"/>
    </row>
    <row r="809" spans="4:9" ht="14">
      <c r="D809" s="1"/>
      <c r="E809" s="1"/>
      <c r="F809" s="1"/>
      <c r="H809" s="1"/>
      <c r="I809" s="1"/>
    </row>
    <row r="810" spans="4:9" ht="14">
      <c r="D810" s="1"/>
      <c r="E810" s="1"/>
      <c r="F810" s="1"/>
      <c r="H810" s="1"/>
      <c r="I810" s="1"/>
    </row>
    <row r="811" spans="4:9" ht="14">
      <c r="D811" s="1"/>
      <c r="E811" s="1"/>
      <c r="F811" s="1"/>
      <c r="H811" s="1"/>
      <c r="I811" s="1"/>
    </row>
    <row r="812" spans="4:9" ht="14">
      <c r="D812" s="1"/>
      <c r="E812" s="1"/>
      <c r="F812" s="1"/>
      <c r="H812" s="1"/>
      <c r="I812" s="1"/>
    </row>
    <row r="813" spans="4:9" ht="14">
      <c r="D813" s="1"/>
      <c r="E813" s="1"/>
      <c r="F813" s="1"/>
      <c r="H813" s="1"/>
      <c r="I813" s="1"/>
    </row>
    <row r="814" spans="4:9" ht="14">
      <c r="D814" s="1"/>
      <c r="E814" s="1"/>
      <c r="F814" s="1"/>
      <c r="H814" s="1"/>
      <c r="I814" s="1"/>
    </row>
    <row r="815" spans="4:9" ht="14">
      <c r="D815" s="1"/>
      <c r="E815" s="1"/>
      <c r="F815" s="1"/>
      <c r="H815" s="1"/>
      <c r="I815" s="1"/>
    </row>
    <row r="816" spans="4:9" ht="14">
      <c r="D816" s="1"/>
      <c r="E816" s="1"/>
      <c r="F816" s="1"/>
      <c r="H816" s="1"/>
      <c r="I816" s="1"/>
    </row>
    <row r="817" spans="4:9" ht="14">
      <c r="D817" s="1"/>
      <c r="E817" s="1"/>
      <c r="F817" s="1"/>
      <c r="H817" s="1"/>
      <c r="I817" s="1"/>
    </row>
    <row r="818" spans="4:9" ht="14">
      <c r="D818" s="1"/>
      <c r="E818" s="1"/>
      <c r="F818" s="1"/>
      <c r="H818" s="1"/>
      <c r="I818" s="1"/>
    </row>
    <row r="819" spans="4:9" ht="14">
      <c r="D819" s="1"/>
      <c r="E819" s="1"/>
      <c r="F819" s="1"/>
      <c r="H819" s="1"/>
      <c r="I819" s="1"/>
    </row>
    <row r="820" spans="4:9" ht="14">
      <c r="D820" s="1"/>
      <c r="E820" s="1"/>
      <c r="F820" s="1"/>
      <c r="H820" s="1"/>
      <c r="I820" s="1"/>
    </row>
    <row r="821" spans="4:9" ht="14">
      <c r="D821" s="1"/>
      <c r="E821" s="1"/>
      <c r="F821" s="1"/>
      <c r="H821" s="1"/>
      <c r="I821" s="1"/>
    </row>
    <row r="822" spans="4:9" ht="14">
      <c r="D822" s="1"/>
      <c r="E822" s="1"/>
      <c r="F822" s="1"/>
      <c r="H822" s="1"/>
      <c r="I822" s="1"/>
    </row>
    <row r="823" spans="4:9" ht="14">
      <c r="D823" s="1"/>
      <c r="E823" s="1"/>
      <c r="F823" s="1"/>
      <c r="H823" s="1"/>
      <c r="I823" s="1"/>
    </row>
    <row r="824" spans="4:9" ht="14">
      <c r="D824" s="1"/>
      <c r="E824" s="1"/>
      <c r="F824" s="1"/>
      <c r="H824" s="1"/>
      <c r="I824" s="1"/>
    </row>
    <row r="825" spans="4:9" ht="14">
      <c r="D825" s="1"/>
      <c r="E825" s="1"/>
      <c r="F825" s="1"/>
      <c r="H825" s="1"/>
      <c r="I825" s="1"/>
    </row>
    <row r="826" spans="4:9" ht="14">
      <c r="D826" s="1"/>
      <c r="E826" s="1"/>
      <c r="F826" s="1"/>
      <c r="H826" s="1"/>
      <c r="I826" s="1"/>
    </row>
    <row r="827" spans="4:9" ht="14">
      <c r="D827" s="1"/>
      <c r="E827" s="1"/>
      <c r="F827" s="1"/>
      <c r="H827" s="1"/>
      <c r="I827" s="1"/>
    </row>
    <row r="828" spans="4:9" ht="14">
      <c r="D828" s="1"/>
      <c r="E828" s="1"/>
      <c r="F828" s="1"/>
      <c r="H828" s="1"/>
      <c r="I828" s="1"/>
    </row>
    <row r="829" spans="4:9" ht="14">
      <c r="D829" s="1"/>
      <c r="E829" s="1"/>
      <c r="F829" s="1"/>
      <c r="H829" s="1"/>
      <c r="I829" s="1"/>
    </row>
    <row r="830" spans="4:9" ht="14">
      <c r="D830" s="1"/>
      <c r="E830" s="1"/>
      <c r="F830" s="1"/>
      <c r="H830" s="1"/>
      <c r="I830" s="1"/>
    </row>
    <row r="831" spans="4:9" ht="14">
      <c r="D831" s="1"/>
      <c r="E831" s="1"/>
      <c r="F831" s="1"/>
      <c r="H831" s="1"/>
      <c r="I831" s="1"/>
    </row>
    <row r="832" spans="4:9" ht="14">
      <c r="D832" s="1"/>
      <c r="E832" s="1"/>
      <c r="F832" s="1"/>
      <c r="H832" s="1"/>
      <c r="I832" s="1"/>
    </row>
    <row r="833" spans="4:9" ht="14">
      <c r="D833" s="1"/>
      <c r="E833" s="1"/>
      <c r="F833" s="1"/>
      <c r="H833" s="1"/>
      <c r="I833" s="1"/>
    </row>
    <row r="834" spans="4:9" ht="14">
      <c r="D834" s="1"/>
      <c r="E834" s="1"/>
      <c r="F834" s="1"/>
      <c r="H834" s="1"/>
      <c r="I834" s="1"/>
    </row>
    <row r="835" spans="4:9" ht="14">
      <c r="D835" s="1"/>
      <c r="E835" s="1"/>
      <c r="F835" s="1"/>
      <c r="H835" s="1"/>
      <c r="I835" s="1"/>
    </row>
    <row r="836" spans="4:9" ht="14">
      <c r="D836" s="1"/>
      <c r="E836" s="1"/>
      <c r="F836" s="1"/>
      <c r="H836" s="1"/>
      <c r="I836" s="1"/>
    </row>
    <row r="837" spans="4:9" ht="14">
      <c r="D837" s="1"/>
      <c r="E837" s="1"/>
      <c r="F837" s="1"/>
      <c r="H837" s="1"/>
      <c r="I837" s="1"/>
    </row>
    <row r="838" spans="4:9" ht="14">
      <c r="D838" s="1"/>
      <c r="E838" s="1"/>
      <c r="F838" s="1"/>
      <c r="H838" s="1"/>
      <c r="I838" s="1"/>
    </row>
    <row r="839" spans="4:9" ht="14">
      <c r="D839" s="1"/>
      <c r="E839" s="1"/>
      <c r="F839" s="1"/>
      <c r="H839" s="1"/>
      <c r="I839" s="1"/>
    </row>
    <row r="840" spans="4:9" ht="14">
      <c r="D840" s="1"/>
      <c r="E840" s="1"/>
      <c r="F840" s="1"/>
      <c r="H840" s="1"/>
      <c r="I840" s="1"/>
    </row>
    <row r="841" spans="4:9" ht="14">
      <c r="D841" s="1"/>
      <c r="E841" s="1"/>
      <c r="F841" s="1"/>
      <c r="H841" s="1"/>
      <c r="I841" s="1"/>
    </row>
    <row r="842" spans="4:9" ht="14">
      <c r="D842" s="1"/>
      <c r="E842" s="1"/>
      <c r="F842" s="1"/>
      <c r="H842" s="1"/>
      <c r="I842" s="1"/>
    </row>
    <row r="843" spans="4:9" ht="14">
      <c r="D843" s="1"/>
      <c r="E843" s="1"/>
      <c r="F843" s="1"/>
      <c r="H843" s="1"/>
      <c r="I843" s="1"/>
    </row>
    <row r="844" spans="4:9" ht="14">
      <c r="D844" s="1"/>
      <c r="E844" s="1"/>
      <c r="F844" s="1"/>
      <c r="H844" s="1"/>
      <c r="I844" s="1"/>
    </row>
    <row r="845" spans="4:9" ht="14">
      <c r="D845" s="1"/>
      <c r="E845" s="1"/>
      <c r="F845" s="1"/>
      <c r="H845" s="1"/>
      <c r="I845" s="1"/>
    </row>
    <row r="846" spans="4:9" ht="14">
      <c r="D846" s="1"/>
      <c r="E846" s="1"/>
      <c r="F846" s="1"/>
      <c r="H846" s="1"/>
      <c r="I846" s="1"/>
    </row>
    <row r="847" spans="4:9" ht="14">
      <c r="D847" s="1"/>
      <c r="E847" s="1"/>
      <c r="F847" s="1"/>
      <c r="H847" s="1"/>
      <c r="I847" s="1"/>
    </row>
    <row r="848" spans="4:9" ht="14">
      <c r="D848" s="1"/>
      <c r="E848" s="1"/>
      <c r="F848" s="1"/>
      <c r="H848" s="1"/>
      <c r="I848" s="1"/>
    </row>
    <row r="849" spans="4:9" ht="14">
      <c r="D849" s="1"/>
      <c r="E849" s="1"/>
      <c r="F849" s="1"/>
      <c r="H849" s="1"/>
      <c r="I849" s="1"/>
    </row>
    <row r="850" spans="4:9" ht="14">
      <c r="D850" s="1"/>
      <c r="E850" s="1"/>
      <c r="F850" s="1"/>
      <c r="H850" s="1"/>
      <c r="I850" s="1"/>
    </row>
    <row r="851" spans="4:9" ht="14">
      <c r="D851" s="1"/>
      <c r="E851" s="1"/>
      <c r="F851" s="1"/>
      <c r="H851" s="1"/>
      <c r="I851" s="1"/>
    </row>
    <row r="852" spans="4:9" ht="14">
      <c r="D852" s="1"/>
      <c r="E852" s="1"/>
      <c r="F852" s="1"/>
      <c r="H852" s="1"/>
      <c r="I852" s="1"/>
    </row>
    <row r="853" spans="4:9" ht="14">
      <c r="D853" s="1"/>
      <c r="E853" s="1"/>
      <c r="F853" s="1"/>
      <c r="H853" s="1"/>
      <c r="I853" s="1"/>
    </row>
    <row r="854" spans="4:9" ht="14">
      <c r="D854" s="1"/>
      <c r="E854" s="1"/>
      <c r="F854" s="1"/>
      <c r="H854" s="1"/>
      <c r="I854" s="1"/>
    </row>
    <row r="855" spans="4:9" ht="14">
      <c r="D855" s="1"/>
      <c r="E855" s="1"/>
      <c r="F855" s="1"/>
      <c r="H855" s="1"/>
      <c r="I855" s="1"/>
    </row>
    <row r="856" spans="4:9" ht="14">
      <c r="D856" s="1"/>
      <c r="E856" s="1"/>
      <c r="F856" s="1"/>
      <c r="H856" s="1"/>
      <c r="I856" s="1"/>
    </row>
    <row r="857" spans="4:9" ht="14">
      <c r="D857" s="1"/>
      <c r="E857" s="1"/>
      <c r="F857" s="1"/>
      <c r="H857" s="1"/>
      <c r="I857" s="1"/>
    </row>
    <row r="858" spans="4:9" ht="14">
      <c r="D858" s="1"/>
      <c r="E858" s="1"/>
      <c r="F858" s="1"/>
      <c r="H858" s="1"/>
      <c r="I858" s="1"/>
    </row>
    <row r="859" spans="4:9" ht="14">
      <c r="D859" s="1"/>
      <c r="E859" s="1"/>
      <c r="F859" s="1"/>
      <c r="H859" s="1"/>
      <c r="I859" s="1"/>
    </row>
    <row r="860" spans="4:9" ht="14">
      <c r="D860" s="1"/>
      <c r="E860" s="1"/>
      <c r="F860" s="1"/>
      <c r="H860" s="1"/>
      <c r="I860" s="1"/>
    </row>
    <row r="861" spans="4:9" ht="14">
      <c r="D861" s="1"/>
      <c r="E861" s="1"/>
      <c r="F861" s="1"/>
      <c r="H861" s="1"/>
      <c r="I861" s="1"/>
    </row>
    <row r="862" spans="4:9" ht="14">
      <c r="D862" s="1"/>
      <c r="E862" s="1"/>
      <c r="F862" s="1"/>
      <c r="H862" s="1"/>
      <c r="I862" s="1"/>
    </row>
    <row r="863" spans="4:9" ht="14">
      <c r="D863" s="1"/>
      <c r="E863" s="1"/>
      <c r="F863" s="1"/>
      <c r="H863" s="1"/>
      <c r="I863" s="1"/>
    </row>
    <row r="864" spans="4:9" ht="14">
      <c r="D864" s="1"/>
      <c r="E864" s="1"/>
      <c r="F864" s="1"/>
      <c r="H864" s="1"/>
      <c r="I864" s="1"/>
    </row>
    <row r="865" spans="4:9" ht="14">
      <c r="D865" s="1"/>
      <c r="E865" s="1"/>
      <c r="F865" s="1"/>
      <c r="H865" s="1"/>
      <c r="I865" s="1"/>
    </row>
    <row r="866" spans="4:9" ht="14">
      <c r="D866" s="1"/>
      <c r="E866" s="1"/>
      <c r="F866" s="1"/>
      <c r="H866" s="1"/>
      <c r="I866" s="1"/>
    </row>
    <row r="867" spans="4:9" ht="14">
      <c r="D867" s="1"/>
      <c r="E867" s="1"/>
      <c r="F867" s="1"/>
      <c r="H867" s="1"/>
      <c r="I867" s="1"/>
    </row>
    <row r="868" spans="4:9" ht="14">
      <c r="D868" s="1"/>
      <c r="E868" s="1"/>
      <c r="F868" s="1"/>
      <c r="H868" s="1"/>
      <c r="I868" s="1"/>
    </row>
    <row r="869" spans="4:9" ht="14">
      <c r="D869" s="1"/>
      <c r="E869" s="1"/>
      <c r="F869" s="1"/>
      <c r="H869" s="1"/>
      <c r="I869" s="1"/>
    </row>
    <row r="870" spans="4:9" ht="14">
      <c r="D870" s="1"/>
      <c r="E870" s="1"/>
      <c r="F870" s="1"/>
      <c r="H870" s="1"/>
      <c r="I870" s="1"/>
    </row>
    <row r="871" spans="4:9" ht="14">
      <c r="D871" s="1"/>
      <c r="E871" s="1"/>
      <c r="F871" s="1"/>
      <c r="H871" s="1"/>
      <c r="I871" s="1"/>
    </row>
    <row r="872" spans="4:9" ht="14">
      <c r="D872" s="1"/>
      <c r="E872" s="1"/>
      <c r="F872" s="1"/>
      <c r="H872" s="1"/>
      <c r="I872" s="1"/>
    </row>
    <row r="873" spans="4:9" ht="14">
      <c r="D873" s="1"/>
      <c r="E873" s="1"/>
      <c r="F873" s="1"/>
      <c r="H873" s="1"/>
      <c r="I873" s="1"/>
    </row>
    <row r="874" spans="4:9" ht="14">
      <c r="D874" s="1"/>
      <c r="E874" s="1"/>
      <c r="F874" s="1"/>
      <c r="H874" s="1"/>
      <c r="I874" s="1"/>
    </row>
    <row r="875" spans="4:9" ht="14">
      <c r="D875" s="1"/>
      <c r="E875" s="1"/>
      <c r="F875" s="1"/>
      <c r="H875" s="1"/>
      <c r="I875" s="1"/>
    </row>
    <row r="876" spans="4:9" ht="14">
      <c r="D876" s="1"/>
      <c r="E876" s="1"/>
      <c r="F876" s="1"/>
      <c r="H876" s="1"/>
      <c r="I876" s="1"/>
    </row>
    <row r="877" spans="4:9" ht="14">
      <c r="D877" s="1"/>
      <c r="E877" s="1"/>
      <c r="F877" s="1"/>
      <c r="H877" s="1"/>
      <c r="I877" s="1"/>
    </row>
    <row r="878" spans="4:9" ht="14">
      <c r="D878" s="1"/>
      <c r="E878" s="1"/>
      <c r="F878" s="1"/>
      <c r="H878" s="1"/>
      <c r="I878" s="1"/>
    </row>
    <row r="879" spans="4:9" ht="14">
      <c r="D879" s="1"/>
      <c r="E879" s="1"/>
      <c r="F879" s="1"/>
      <c r="H879" s="1"/>
      <c r="I879" s="1"/>
    </row>
    <row r="880" spans="4:9" ht="14">
      <c r="D880" s="1"/>
      <c r="E880" s="1"/>
      <c r="F880" s="1"/>
      <c r="H880" s="1"/>
      <c r="I880" s="1"/>
    </row>
    <row r="881" spans="4:9" ht="14">
      <c r="D881" s="1"/>
      <c r="E881" s="1"/>
      <c r="F881" s="1"/>
      <c r="H881" s="1"/>
      <c r="I881" s="1"/>
    </row>
    <row r="882" spans="4:9" ht="14">
      <c r="D882" s="1"/>
      <c r="E882" s="1"/>
      <c r="F882" s="1"/>
      <c r="H882" s="1"/>
      <c r="I882" s="1"/>
    </row>
    <row r="883" spans="4:9" ht="14">
      <c r="D883" s="1"/>
      <c r="E883" s="1"/>
      <c r="F883" s="1"/>
      <c r="H883" s="1"/>
      <c r="I883" s="1"/>
    </row>
    <row r="884" spans="4:9" ht="14">
      <c r="D884" s="1"/>
      <c r="E884" s="1"/>
      <c r="F884" s="1"/>
      <c r="H884" s="1"/>
      <c r="I884" s="1"/>
    </row>
    <row r="885" spans="4:9" ht="14">
      <c r="D885" s="1"/>
      <c r="E885" s="1"/>
      <c r="F885" s="1"/>
      <c r="H885" s="1"/>
      <c r="I885" s="1"/>
    </row>
    <row r="886" spans="4:9" ht="14">
      <c r="D886" s="1"/>
      <c r="E886" s="1"/>
      <c r="F886" s="1"/>
      <c r="H886" s="1"/>
      <c r="I886" s="1"/>
    </row>
    <row r="887" spans="4:9" ht="14">
      <c r="D887" s="1"/>
      <c r="E887" s="1"/>
      <c r="F887" s="1"/>
      <c r="H887" s="1"/>
      <c r="I887" s="1"/>
    </row>
    <row r="888" spans="4:9" ht="14">
      <c r="D888" s="1"/>
      <c r="E888" s="1"/>
      <c r="F888" s="1"/>
      <c r="H888" s="1"/>
      <c r="I888" s="1"/>
    </row>
    <row r="889" spans="4:9" ht="14">
      <c r="D889" s="1"/>
      <c r="E889" s="1"/>
      <c r="F889" s="1"/>
      <c r="H889" s="1"/>
      <c r="I889" s="1"/>
    </row>
    <row r="890" spans="4:9" ht="14">
      <c r="D890" s="1"/>
      <c r="E890" s="1"/>
      <c r="F890" s="1"/>
      <c r="H890" s="1"/>
      <c r="I890" s="1"/>
    </row>
    <row r="891" spans="4:9" ht="14">
      <c r="D891" s="1"/>
      <c r="E891" s="1"/>
      <c r="F891" s="1"/>
      <c r="H891" s="1"/>
      <c r="I891" s="1"/>
    </row>
    <row r="892" spans="4:9" ht="14">
      <c r="D892" s="1"/>
      <c r="E892" s="1"/>
      <c r="F892" s="1"/>
      <c r="H892" s="1"/>
      <c r="I892" s="1"/>
    </row>
    <row r="893" spans="4:9" ht="14">
      <c r="D893" s="1"/>
      <c r="E893" s="1"/>
      <c r="F893" s="1"/>
      <c r="H893" s="1"/>
      <c r="I893" s="1"/>
    </row>
    <row r="894" spans="4:9" ht="14">
      <c r="D894" s="1"/>
      <c r="E894" s="1"/>
      <c r="F894" s="1"/>
      <c r="H894" s="1"/>
      <c r="I894" s="1"/>
    </row>
    <row r="895" spans="4:9" ht="14">
      <c r="D895" s="1"/>
      <c r="E895" s="1"/>
      <c r="F895" s="1"/>
      <c r="H895" s="1"/>
      <c r="I895" s="1"/>
    </row>
    <row r="896" spans="4:9" ht="14">
      <c r="D896" s="1"/>
      <c r="E896" s="1"/>
      <c r="F896" s="1"/>
      <c r="H896" s="1"/>
      <c r="I896" s="1"/>
    </row>
    <row r="897" spans="4:9" ht="14">
      <c r="D897" s="1"/>
      <c r="E897" s="1"/>
      <c r="F897" s="1"/>
      <c r="H897" s="1"/>
      <c r="I897" s="1"/>
    </row>
    <row r="898" spans="4:9" ht="14">
      <c r="D898" s="1"/>
      <c r="E898" s="1"/>
      <c r="F898" s="1"/>
      <c r="H898" s="1"/>
      <c r="I898" s="1"/>
    </row>
    <row r="899" spans="4:9" ht="14">
      <c r="D899" s="1"/>
      <c r="E899" s="1"/>
      <c r="F899" s="1"/>
      <c r="H899" s="1"/>
      <c r="I899" s="1"/>
    </row>
    <row r="900" spans="4:9" ht="14">
      <c r="D900" s="1"/>
      <c r="E900" s="1"/>
      <c r="F900" s="1"/>
      <c r="H900" s="1"/>
      <c r="I900" s="1"/>
    </row>
    <row r="901" spans="4:9" ht="14">
      <c r="D901" s="1"/>
      <c r="E901" s="1"/>
      <c r="F901" s="1"/>
      <c r="H901" s="1"/>
      <c r="I901" s="1"/>
    </row>
    <row r="902" spans="4:9" ht="14">
      <c r="D902" s="1"/>
      <c r="E902" s="1"/>
      <c r="F902" s="1"/>
      <c r="H902" s="1"/>
      <c r="I902" s="1"/>
    </row>
    <row r="903" spans="4:9" ht="14">
      <c r="D903" s="1"/>
      <c r="E903" s="1"/>
      <c r="F903" s="1"/>
      <c r="H903" s="1"/>
      <c r="I903" s="1"/>
    </row>
    <row r="904" spans="4:9" ht="14">
      <c r="D904" s="1"/>
      <c r="E904" s="1"/>
      <c r="F904" s="1"/>
      <c r="H904" s="1"/>
      <c r="I904" s="1"/>
    </row>
    <row r="905" spans="4:9" ht="14">
      <c r="D905" s="1"/>
      <c r="E905" s="1"/>
      <c r="F905" s="1"/>
      <c r="H905" s="1"/>
      <c r="I905" s="1"/>
    </row>
    <row r="906" spans="4:9" ht="14">
      <c r="D906" s="1"/>
      <c r="E906" s="1"/>
      <c r="F906" s="1"/>
      <c r="H906" s="1"/>
      <c r="I906" s="1"/>
    </row>
    <row r="907" spans="4:9" ht="14">
      <c r="D907" s="1"/>
      <c r="E907" s="1"/>
      <c r="F907" s="1"/>
      <c r="H907" s="1"/>
      <c r="I907" s="1"/>
    </row>
    <row r="908" spans="4:9" ht="14">
      <c r="D908" s="1"/>
      <c r="E908" s="1"/>
      <c r="F908" s="1"/>
      <c r="H908" s="1"/>
      <c r="I908" s="1"/>
    </row>
    <row r="909" spans="4:9" ht="14">
      <c r="D909" s="1"/>
      <c r="E909" s="1"/>
      <c r="F909" s="1"/>
      <c r="H909" s="1"/>
      <c r="I909" s="1"/>
    </row>
    <row r="910" spans="4:9" ht="14">
      <c r="D910" s="1"/>
      <c r="E910" s="1"/>
      <c r="F910" s="1"/>
      <c r="H910" s="1"/>
      <c r="I910" s="1"/>
    </row>
    <row r="911" spans="4:9" ht="14">
      <c r="D911" s="1"/>
      <c r="E911" s="1"/>
      <c r="F911" s="1"/>
      <c r="H911" s="1"/>
      <c r="I911" s="1"/>
    </row>
    <row r="912" spans="4:9" ht="14">
      <c r="D912" s="1"/>
      <c r="E912" s="1"/>
      <c r="F912" s="1"/>
      <c r="H912" s="1"/>
      <c r="I912" s="1"/>
    </row>
    <row r="913" spans="4:9" ht="14">
      <c r="D913" s="1"/>
      <c r="E913" s="1"/>
      <c r="F913" s="1"/>
      <c r="H913" s="1"/>
      <c r="I913" s="1"/>
    </row>
    <row r="914" spans="4:9" ht="14">
      <c r="D914" s="1"/>
      <c r="E914" s="1"/>
      <c r="F914" s="1"/>
      <c r="H914" s="1"/>
      <c r="I914" s="1"/>
    </row>
    <row r="915" spans="4:9" ht="14">
      <c r="D915" s="1"/>
      <c r="E915" s="1"/>
      <c r="F915" s="1"/>
      <c r="H915" s="1"/>
      <c r="I915" s="1"/>
    </row>
    <row r="916" spans="4:9" ht="14">
      <c r="D916" s="1"/>
      <c r="E916" s="1"/>
      <c r="F916" s="1"/>
      <c r="H916" s="1"/>
      <c r="I916" s="1"/>
    </row>
    <row r="917" spans="4:9" ht="14">
      <c r="D917" s="1"/>
      <c r="E917" s="1"/>
      <c r="F917" s="1"/>
      <c r="H917" s="1"/>
      <c r="I917" s="1"/>
    </row>
    <row r="918" spans="4:9" ht="14">
      <c r="D918" s="1"/>
      <c r="E918" s="1"/>
      <c r="F918" s="1"/>
      <c r="H918" s="1"/>
      <c r="I918" s="1"/>
    </row>
    <row r="919" spans="4:9" ht="14">
      <c r="D919" s="1"/>
      <c r="E919" s="1"/>
      <c r="F919" s="1"/>
      <c r="H919" s="1"/>
      <c r="I919" s="1"/>
    </row>
    <row r="920" spans="4:9" ht="14">
      <c r="D920" s="1"/>
      <c r="E920" s="1"/>
      <c r="F920" s="1"/>
      <c r="H920" s="1"/>
      <c r="I920" s="1"/>
    </row>
    <row r="921" spans="4:9" ht="14">
      <c r="D921" s="1"/>
      <c r="E921" s="1"/>
      <c r="F921" s="1"/>
      <c r="H921" s="1"/>
      <c r="I921" s="1"/>
    </row>
    <row r="922" spans="4:9" ht="14">
      <c r="D922" s="1"/>
      <c r="E922" s="1"/>
      <c r="F922" s="1"/>
      <c r="H922" s="1"/>
      <c r="I922" s="1"/>
    </row>
    <row r="923" spans="4:9" ht="14">
      <c r="D923" s="1"/>
      <c r="E923" s="1"/>
      <c r="F923" s="1"/>
      <c r="H923" s="1"/>
      <c r="I923" s="1"/>
    </row>
    <row r="924" spans="4:9" ht="14">
      <c r="D924" s="1"/>
      <c r="E924" s="1"/>
      <c r="F924" s="1"/>
      <c r="H924" s="1"/>
      <c r="I924" s="1"/>
    </row>
    <row r="925" spans="4:9" ht="14">
      <c r="D925" s="1"/>
      <c r="E925" s="1"/>
      <c r="F925" s="1"/>
      <c r="H925" s="1"/>
      <c r="I925" s="1"/>
    </row>
    <row r="926" spans="4:9" ht="14">
      <c r="D926" s="1"/>
      <c r="E926" s="1"/>
      <c r="F926" s="1"/>
      <c r="H926" s="1"/>
      <c r="I926" s="1"/>
    </row>
    <row r="927" spans="4:9" ht="14">
      <c r="D927" s="1"/>
      <c r="E927" s="1"/>
      <c r="F927" s="1"/>
      <c r="H927" s="1"/>
      <c r="I927" s="1"/>
    </row>
    <row r="928" spans="4:9" ht="14">
      <c r="D928" s="1"/>
      <c r="E928" s="1"/>
      <c r="F928" s="1"/>
      <c r="H928" s="1"/>
      <c r="I928" s="1"/>
    </row>
    <row r="929" spans="4:9" ht="14">
      <c r="D929" s="1"/>
      <c r="E929" s="1"/>
      <c r="F929" s="1"/>
      <c r="H929" s="1"/>
      <c r="I929" s="1"/>
    </row>
    <row r="930" spans="4:9" ht="14">
      <c r="D930" s="1"/>
      <c r="E930" s="1"/>
      <c r="F930" s="1"/>
      <c r="H930" s="1"/>
      <c r="I930" s="1"/>
    </row>
    <row r="931" spans="4:9" ht="14">
      <c r="D931" s="1"/>
      <c r="E931" s="1"/>
      <c r="F931" s="1"/>
      <c r="H931" s="1"/>
      <c r="I931" s="1"/>
    </row>
    <row r="932" spans="4:9" ht="14">
      <c r="D932" s="1"/>
      <c r="E932" s="1"/>
      <c r="F932" s="1"/>
      <c r="H932" s="1"/>
      <c r="I932" s="1"/>
    </row>
    <row r="933" spans="4:9" ht="14">
      <c r="D933" s="1"/>
      <c r="E933" s="1"/>
      <c r="F933" s="1"/>
      <c r="H933" s="1"/>
      <c r="I933" s="1"/>
    </row>
    <row r="934" spans="4:9" ht="14">
      <c r="D934" s="1"/>
      <c r="E934" s="1"/>
      <c r="F934" s="1"/>
      <c r="H934" s="1"/>
      <c r="I934" s="1"/>
    </row>
    <row r="935" spans="4:9" ht="14">
      <c r="D935" s="1"/>
      <c r="E935" s="1"/>
      <c r="F935" s="1"/>
      <c r="H935" s="1"/>
      <c r="I935" s="1"/>
    </row>
    <row r="936" spans="4:9" ht="14">
      <c r="D936" s="1"/>
      <c r="E936" s="1"/>
      <c r="F936" s="1"/>
      <c r="H936" s="1"/>
      <c r="I936" s="1"/>
    </row>
    <row r="937" spans="4:9" ht="14">
      <c r="D937" s="1"/>
      <c r="E937" s="1"/>
      <c r="F937" s="1"/>
      <c r="H937" s="1"/>
      <c r="I937" s="1"/>
    </row>
    <row r="938" spans="4:9" ht="14">
      <c r="D938" s="1"/>
      <c r="E938" s="1"/>
      <c r="F938" s="1"/>
      <c r="H938" s="1"/>
      <c r="I938" s="1"/>
    </row>
    <row r="939" spans="4:9" ht="14">
      <c r="D939" s="1"/>
      <c r="E939" s="1"/>
      <c r="F939" s="1"/>
      <c r="H939" s="1"/>
      <c r="I939" s="1"/>
    </row>
    <row r="940" spans="4:9" ht="14">
      <c r="D940" s="1"/>
      <c r="E940" s="1"/>
      <c r="F940" s="1"/>
      <c r="H940" s="1"/>
      <c r="I940" s="1"/>
    </row>
    <row r="941" spans="4:9" ht="14">
      <c r="D941" s="1"/>
      <c r="E941" s="1"/>
      <c r="F941" s="1"/>
      <c r="H941" s="1"/>
      <c r="I941" s="1"/>
    </row>
    <row r="942" spans="4:9" ht="14">
      <c r="D942" s="1"/>
      <c r="E942" s="1"/>
      <c r="F942" s="1"/>
      <c r="H942" s="1"/>
      <c r="I942" s="1"/>
    </row>
    <row r="943" spans="4:9" ht="14">
      <c r="D943" s="1"/>
      <c r="E943" s="1"/>
      <c r="F943" s="1"/>
      <c r="H943" s="1"/>
      <c r="I943" s="1"/>
    </row>
    <row r="944" spans="4:9" ht="14">
      <c r="D944" s="1"/>
      <c r="E944" s="1"/>
      <c r="F944" s="1"/>
      <c r="H944" s="1"/>
      <c r="I944" s="1"/>
    </row>
    <row r="945" spans="4:9" ht="14">
      <c r="D945" s="1"/>
      <c r="E945" s="1"/>
      <c r="F945" s="1"/>
      <c r="H945" s="1"/>
      <c r="I945" s="1"/>
    </row>
    <row r="946" spans="4:9" ht="14">
      <c r="D946" s="1"/>
      <c r="E946" s="1"/>
      <c r="F946" s="1"/>
      <c r="H946" s="1"/>
      <c r="I946" s="1"/>
    </row>
    <row r="947" spans="4:9" ht="14">
      <c r="D947" s="1"/>
      <c r="E947" s="1"/>
      <c r="F947" s="1"/>
      <c r="H947" s="1"/>
      <c r="I947" s="1"/>
    </row>
    <row r="948" spans="4:9" ht="14">
      <c r="D948" s="1"/>
      <c r="E948" s="1"/>
      <c r="F948" s="1"/>
      <c r="H948" s="1"/>
      <c r="I948" s="1"/>
    </row>
    <row r="949" spans="4:9" ht="14">
      <c r="D949" s="1"/>
      <c r="E949" s="1"/>
      <c r="F949" s="1"/>
      <c r="H949" s="1"/>
      <c r="I949" s="1"/>
    </row>
    <row r="950" spans="4:9" ht="14">
      <c r="D950" s="1"/>
      <c r="E950" s="1"/>
      <c r="F950" s="1"/>
      <c r="H950" s="1"/>
      <c r="I950" s="1"/>
    </row>
    <row r="951" spans="4:9" ht="14">
      <c r="D951" s="1"/>
      <c r="E951" s="1"/>
      <c r="F951" s="1"/>
      <c r="H951" s="1"/>
      <c r="I951" s="1"/>
    </row>
    <row r="952" spans="4:9" ht="14">
      <c r="D952" s="1"/>
      <c r="E952" s="1"/>
      <c r="F952" s="1"/>
      <c r="H952" s="1"/>
      <c r="I952" s="1"/>
    </row>
    <row r="953" spans="4:9" ht="14">
      <c r="D953" s="1"/>
      <c r="E953" s="1"/>
      <c r="F953" s="1"/>
      <c r="H953" s="1"/>
      <c r="I953" s="1"/>
    </row>
    <row r="954" spans="4:9" ht="14">
      <c r="D954" s="1"/>
      <c r="E954" s="1"/>
      <c r="F954" s="1"/>
      <c r="H954" s="1"/>
      <c r="I954" s="1"/>
    </row>
    <row r="955" spans="4:9" ht="14">
      <c r="D955" s="1"/>
      <c r="E955" s="1"/>
      <c r="F955" s="1"/>
      <c r="H955" s="1"/>
      <c r="I955" s="1"/>
    </row>
    <row r="956" spans="4:9" ht="14">
      <c r="D956" s="1"/>
      <c r="E956" s="1"/>
      <c r="F956" s="1"/>
      <c r="H956" s="1"/>
      <c r="I956" s="1"/>
    </row>
    <row r="957" spans="4:9" ht="14">
      <c r="D957" s="1"/>
      <c r="E957" s="1"/>
      <c r="F957" s="1"/>
      <c r="H957" s="1"/>
      <c r="I957" s="1"/>
    </row>
    <row r="958" spans="4:9" ht="14">
      <c r="D958" s="1"/>
      <c r="E958" s="1"/>
      <c r="F958" s="1"/>
      <c r="H958" s="1"/>
      <c r="I958" s="1"/>
    </row>
    <row r="959" spans="4:9" ht="14">
      <c r="D959" s="1"/>
      <c r="E959" s="1"/>
      <c r="F959" s="1"/>
      <c r="H959" s="1"/>
      <c r="I959" s="1"/>
    </row>
    <row r="960" spans="4:9" ht="14">
      <c r="D960" s="1"/>
      <c r="E960" s="1"/>
      <c r="F960" s="1"/>
      <c r="H960" s="1"/>
      <c r="I960" s="1"/>
    </row>
    <row r="961" spans="4:9" ht="14">
      <c r="D961" s="1"/>
      <c r="E961" s="1"/>
      <c r="F961" s="1"/>
      <c r="H961" s="1"/>
      <c r="I961" s="1"/>
    </row>
    <row r="962" spans="4:9" ht="14">
      <c r="D962" s="1"/>
      <c r="E962" s="1"/>
      <c r="F962" s="1"/>
      <c r="H962" s="1"/>
      <c r="I962" s="1"/>
    </row>
    <row r="963" spans="4:9" ht="14">
      <c r="D963" s="1"/>
      <c r="E963" s="1"/>
      <c r="F963" s="1"/>
      <c r="H963" s="1"/>
      <c r="I963" s="1"/>
    </row>
    <row r="964" spans="4:9" ht="14">
      <c r="D964" s="1"/>
      <c r="E964" s="1"/>
      <c r="F964" s="1"/>
      <c r="H964" s="1"/>
      <c r="I964" s="1"/>
    </row>
    <row r="965" spans="4:9" ht="14">
      <c r="D965" s="1"/>
      <c r="E965" s="1"/>
      <c r="F965" s="1"/>
      <c r="H965" s="1"/>
      <c r="I965" s="1"/>
    </row>
    <row r="966" spans="4:9" ht="14">
      <c r="D966" s="1"/>
      <c r="E966" s="1"/>
      <c r="F966" s="1"/>
      <c r="H966" s="1"/>
      <c r="I966" s="1"/>
    </row>
    <row r="967" spans="4:9" ht="14">
      <c r="D967" s="1"/>
      <c r="E967" s="1"/>
      <c r="F967" s="1"/>
      <c r="H967" s="1"/>
      <c r="I967" s="1"/>
    </row>
    <row r="968" spans="4:9" ht="14">
      <c r="D968" s="1"/>
      <c r="E968" s="1"/>
      <c r="F968" s="1"/>
      <c r="H968" s="1"/>
      <c r="I968" s="1"/>
    </row>
    <row r="969" spans="4:9" ht="14">
      <c r="D969" s="1"/>
      <c r="E969" s="1"/>
      <c r="F969" s="1"/>
      <c r="H969" s="1"/>
      <c r="I969" s="1"/>
    </row>
    <row r="970" spans="4:9" ht="14">
      <c r="D970" s="1"/>
      <c r="E970" s="1"/>
      <c r="F970" s="1"/>
      <c r="H970" s="1"/>
      <c r="I970" s="1"/>
    </row>
    <row r="971" spans="4:9" ht="14">
      <c r="D971" s="1"/>
      <c r="E971" s="1"/>
      <c r="F971" s="1"/>
      <c r="H971" s="1"/>
      <c r="I971" s="1"/>
    </row>
    <row r="972" spans="4:9" ht="14">
      <c r="D972" s="1"/>
      <c r="E972" s="1"/>
      <c r="F972" s="1"/>
      <c r="H972" s="1"/>
      <c r="I972" s="1"/>
    </row>
    <row r="973" spans="4:9" ht="14">
      <c r="D973" s="1"/>
      <c r="E973" s="1"/>
      <c r="F973" s="1"/>
      <c r="H973" s="1"/>
      <c r="I973" s="1"/>
    </row>
    <row r="974" spans="4:9" ht="14">
      <c r="D974" s="1"/>
      <c r="E974" s="1"/>
      <c r="F974" s="1"/>
      <c r="H974" s="1"/>
      <c r="I974" s="1"/>
    </row>
    <row r="975" spans="4:9" ht="14">
      <c r="D975" s="1"/>
      <c r="E975" s="1"/>
      <c r="F975" s="1"/>
      <c r="H975" s="1"/>
      <c r="I975" s="1"/>
    </row>
    <row r="976" spans="4:9" ht="14">
      <c r="D976" s="1"/>
      <c r="E976" s="1"/>
      <c r="F976" s="1"/>
      <c r="H976" s="1"/>
      <c r="I976" s="1"/>
    </row>
    <row r="977" spans="4:9" ht="14">
      <c r="D977" s="1"/>
      <c r="E977" s="1"/>
      <c r="F977" s="1"/>
      <c r="H977" s="1"/>
      <c r="I977" s="1"/>
    </row>
    <row r="978" spans="4:9" ht="14">
      <c r="D978" s="1"/>
      <c r="E978" s="1"/>
      <c r="F978" s="1"/>
      <c r="H978" s="1"/>
      <c r="I978" s="1"/>
    </row>
    <row r="979" spans="4:9" ht="14">
      <c r="D979" s="1"/>
      <c r="E979" s="1"/>
      <c r="F979" s="1"/>
      <c r="H979" s="1"/>
      <c r="I979" s="1"/>
    </row>
    <row r="980" spans="4:9" ht="14">
      <c r="D980" s="1"/>
      <c r="E980" s="1"/>
      <c r="F980" s="1"/>
      <c r="H980" s="1"/>
      <c r="I980" s="1"/>
    </row>
    <row r="981" spans="4:9" ht="14">
      <c r="D981" s="1"/>
      <c r="E981" s="1"/>
      <c r="F981" s="1"/>
      <c r="H981" s="1"/>
      <c r="I981" s="1"/>
    </row>
    <row r="982" spans="4:9" ht="14">
      <c r="D982" s="1"/>
      <c r="E982" s="1"/>
      <c r="F982" s="1"/>
      <c r="H982" s="1"/>
      <c r="I982" s="1"/>
    </row>
    <row r="983" spans="4:9" ht="14">
      <c r="D983" s="1"/>
      <c r="E983" s="1"/>
      <c r="F983" s="1"/>
      <c r="H983" s="1"/>
      <c r="I983" s="1"/>
    </row>
    <row r="984" spans="4:9" ht="14">
      <c r="D984" s="1"/>
      <c r="E984" s="1"/>
      <c r="F984" s="1"/>
      <c r="H984" s="1"/>
      <c r="I984" s="1"/>
    </row>
    <row r="985" spans="4:9" ht="14">
      <c r="D985" s="1"/>
      <c r="E985" s="1"/>
      <c r="F985" s="1"/>
      <c r="H985" s="1"/>
      <c r="I985" s="1"/>
    </row>
    <row r="986" spans="4:9" ht="14">
      <c r="D986" s="1"/>
      <c r="E986" s="1"/>
      <c r="F986" s="1"/>
      <c r="H986" s="1"/>
      <c r="I986" s="1"/>
    </row>
    <row r="987" spans="4:9" ht="14">
      <c r="D987" s="1"/>
      <c r="E987" s="1"/>
      <c r="F987" s="1"/>
      <c r="H987" s="1"/>
      <c r="I987" s="1"/>
    </row>
    <row r="988" spans="4:9" ht="14">
      <c r="D988" s="1"/>
      <c r="E988" s="1"/>
      <c r="F988" s="1"/>
      <c r="H988" s="1"/>
      <c r="I988" s="1"/>
    </row>
    <row r="989" spans="4:9" ht="14">
      <c r="D989" s="1"/>
      <c r="E989" s="1"/>
      <c r="F989" s="1"/>
      <c r="H989" s="1"/>
      <c r="I989" s="1"/>
    </row>
    <row r="990" spans="4:9" ht="14">
      <c r="D990" s="1"/>
      <c r="E990" s="1"/>
      <c r="F990" s="1"/>
      <c r="H990" s="1"/>
      <c r="I990" s="1"/>
    </row>
    <row r="991" spans="4:9" ht="14">
      <c r="D991" s="1"/>
      <c r="E991" s="1"/>
      <c r="F991" s="1"/>
      <c r="H991" s="1"/>
      <c r="I991" s="1"/>
    </row>
    <row r="992" spans="4:9" ht="14">
      <c r="D992" s="1"/>
      <c r="E992" s="1"/>
      <c r="F992" s="1"/>
      <c r="H992" s="1"/>
      <c r="I992" s="1"/>
    </row>
    <row r="993" spans="4:9" ht="14">
      <c r="D993" s="1"/>
      <c r="E993" s="1"/>
      <c r="F993" s="1"/>
      <c r="H993" s="1"/>
      <c r="I993" s="1"/>
    </row>
  </sheetData>
  <autoFilter ref="B4:J106" xr:uid="{00000000-0001-0000-0D00-000000000000}">
    <sortState xmlns:xlrd2="http://schemas.microsoft.com/office/spreadsheetml/2017/richdata2" ref="B5:J106">
      <sortCondition ref="B4:B106"/>
    </sortState>
  </autoFilter>
  <mergeCells count="1">
    <mergeCell ref="B1:G1"/>
  </mergeCells>
  <phoneticPr fontId="2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002"/>
  <sheetViews>
    <sheetView workbookViewId="0"/>
  </sheetViews>
  <sheetFormatPr baseColWidth="10" defaultColWidth="14.3984375" defaultRowHeight="15.75" customHeight="1"/>
  <cols>
    <col min="3" max="3" width="26.796875" customWidth="1"/>
    <col min="4" max="5" width="16.796875" customWidth="1"/>
    <col min="6" max="6" width="22.3984375" customWidth="1"/>
    <col min="7" max="7" width="50.3984375" customWidth="1"/>
    <col min="9" max="11" width="18.796875" customWidth="1"/>
    <col min="12" max="12" width="3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26"/>
      <c r="L1" s="1"/>
      <c r="M1" s="1"/>
    </row>
    <row r="2" spans="1:13">
      <c r="A2" s="1" t="s">
        <v>254</v>
      </c>
      <c r="B2" s="1" t="s">
        <v>43</v>
      </c>
      <c r="C2" s="1" t="s">
        <v>15</v>
      </c>
      <c r="D2" s="1" t="s">
        <v>10</v>
      </c>
      <c r="E2" s="1" t="s">
        <v>255</v>
      </c>
      <c r="F2" s="1" t="s">
        <v>256</v>
      </c>
      <c r="G2" s="1" t="s">
        <v>12</v>
      </c>
      <c r="H2" s="1" t="s">
        <v>13</v>
      </c>
      <c r="I2" s="1" t="s">
        <v>14</v>
      </c>
      <c r="J2" s="1" t="s">
        <v>257</v>
      </c>
      <c r="K2" s="26" t="s">
        <v>258</v>
      </c>
      <c r="L2" s="1" t="s">
        <v>2</v>
      </c>
      <c r="M2" s="1"/>
    </row>
    <row r="3" spans="1:13">
      <c r="A3" s="27">
        <v>45400</v>
      </c>
      <c r="B3" s="27">
        <v>45400</v>
      </c>
      <c r="C3" s="1" t="s">
        <v>259</v>
      </c>
      <c r="D3" s="1"/>
      <c r="E3" s="1" t="s">
        <v>260</v>
      </c>
      <c r="F3" s="1" t="s">
        <v>28</v>
      </c>
      <c r="G3" s="1" t="s">
        <v>261</v>
      </c>
      <c r="H3" s="1" t="s">
        <v>36</v>
      </c>
      <c r="I3" s="1"/>
      <c r="J3" s="1"/>
      <c r="K3" s="26"/>
      <c r="L3" s="1"/>
      <c r="M3" s="1"/>
    </row>
    <row r="4" spans="1:13">
      <c r="A4" s="27">
        <v>45400</v>
      </c>
      <c r="B4" s="27">
        <v>45400</v>
      </c>
      <c r="C4" s="1" t="s">
        <v>19</v>
      </c>
      <c r="D4" s="1"/>
      <c r="E4" s="1" t="s">
        <v>262</v>
      </c>
      <c r="F4" s="1" t="s">
        <v>28</v>
      </c>
      <c r="G4" s="1" t="s">
        <v>26</v>
      </c>
      <c r="H4" s="1" t="s">
        <v>34</v>
      </c>
      <c r="I4" s="1" t="s">
        <v>263</v>
      </c>
      <c r="J4" s="1" t="s">
        <v>69</v>
      </c>
      <c r="K4" s="26">
        <v>748000</v>
      </c>
      <c r="L4" s="1"/>
      <c r="M4" s="1"/>
    </row>
    <row r="5" spans="1:13">
      <c r="A5" s="27">
        <v>45401</v>
      </c>
      <c r="B5" s="27">
        <v>45401</v>
      </c>
      <c r="C5" s="1" t="s">
        <v>264</v>
      </c>
      <c r="D5" s="1"/>
      <c r="E5" s="1" t="s">
        <v>265</v>
      </c>
      <c r="F5" s="1" t="s">
        <v>28</v>
      </c>
      <c r="G5" s="1" t="s">
        <v>266</v>
      </c>
      <c r="H5" s="1" t="s">
        <v>34</v>
      </c>
      <c r="I5" s="1" t="s">
        <v>263</v>
      </c>
      <c r="J5" s="1" t="s">
        <v>25</v>
      </c>
      <c r="K5" s="26">
        <v>374000</v>
      </c>
      <c r="L5" s="1"/>
      <c r="M5" s="1"/>
    </row>
    <row r="6" spans="1:13">
      <c r="A6" s="27">
        <v>45404</v>
      </c>
      <c r="B6" s="27">
        <v>45404</v>
      </c>
      <c r="C6" s="1" t="s">
        <v>33</v>
      </c>
      <c r="D6" s="1"/>
      <c r="E6" s="1" t="s">
        <v>267</v>
      </c>
      <c r="F6" s="1" t="s">
        <v>28</v>
      </c>
      <c r="G6" s="1" t="s">
        <v>268</v>
      </c>
      <c r="H6" s="1" t="s">
        <v>36</v>
      </c>
      <c r="I6" s="1"/>
      <c r="J6" s="1"/>
      <c r="K6" s="26"/>
      <c r="L6" s="1"/>
      <c r="M6" s="1"/>
    </row>
    <row r="7" spans="1:13">
      <c r="A7" s="27">
        <v>45406</v>
      </c>
      <c r="B7" s="27">
        <v>45406</v>
      </c>
      <c r="C7" s="1" t="s">
        <v>269</v>
      </c>
      <c r="D7" s="1"/>
      <c r="E7" s="1" t="s">
        <v>270</v>
      </c>
      <c r="F7" s="1" t="s">
        <v>28</v>
      </c>
      <c r="G7" s="1" t="s">
        <v>271</v>
      </c>
      <c r="H7" s="1" t="s">
        <v>17</v>
      </c>
      <c r="I7" s="1"/>
      <c r="J7" s="1"/>
      <c r="K7" s="26"/>
      <c r="L7" s="1"/>
      <c r="M7" s="1"/>
    </row>
    <row r="8" spans="1:13">
      <c r="A8" s="27">
        <v>45411</v>
      </c>
      <c r="B8" s="27">
        <v>45411</v>
      </c>
      <c r="C8" s="1" t="s">
        <v>272</v>
      </c>
      <c r="D8" s="1"/>
      <c r="E8" s="1" t="s">
        <v>273</v>
      </c>
      <c r="F8" s="1" t="s">
        <v>28</v>
      </c>
      <c r="G8" s="1" t="s">
        <v>274</v>
      </c>
      <c r="H8" s="1" t="s">
        <v>17</v>
      </c>
      <c r="I8" s="1"/>
      <c r="J8" s="1"/>
      <c r="K8" s="26"/>
      <c r="L8" s="1"/>
      <c r="M8" s="1"/>
    </row>
    <row r="9" spans="1:13">
      <c r="A9" s="27">
        <v>45411</v>
      </c>
      <c r="B9" s="27">
        <v>45411</v>
      </c>
      <c r="C9" s="1" t="s">
        <v>275</v>
      </c>
      <c r="D9" s="1"/>
      <c r="E9" s="1" t="s">
        <v>276</v>
      </c>
      <c r="F9" s="1" t="s">
        <v>28</v>
      </c>
      <c r="G9" s="1" t="s">
        <v>277</v>
      </c>
      <c r="H9" s="1" t="s">
        <v>17</v>
      </c>
      <c r="I9" s="1"/>
      <c r="J9" s="1"/>
      <c r="K9" s="26"/>
      <c r="L9" s="1" t="s">
        <v>278</v>
      </c>
      <c r="M9" s="1"/>
    </row>
    <row r="10" spans="1:13">
      <c r="A10" s="27">
        <v>45414</v>
      </c>
      <c r="B10" s="27">
        <v>45414</v>
      </c>
      <c r="C10" s="1" t="s">
        <v>279</v>
      </c>
      <c r="D10" s="1"/>
      <c r="E10" s="1" t="s">
        <v>280</v>
      </c>
      <c r="F10" s="1" t="s">
        <v>28</v>
      </c>
      <c r="G10" s="1" t="s">
        <v>281</v>
      </c>
      <c r="H10" s="1" t="s">
        <v>34</v>
      </c>
      <c r="I10" s="1" t="s">
        <v>263</v>
      </c>
      <c r="J10" s="1" t="s">
        <v>25</v>
      </c>
      <c r="K10" s="26">
        <v>374000</v>
      </c>
      <c r="L10" s="1" t="s">
        <v>282</v>
      </c>
      <c r="M10" s="1"/>
    </row>
    <row r="11" spans="1:13">
      <c r="A11" s="27">
        <v>45415</v>
      </c>
      <c r="B11" s="27">
        <v>45415</v>
      </c>
      <c r="C11" s="1" t="s">
        <v>283</v>
      </c>
      <c r="D11" s="1"/>
      <c r="E11" s="1" t="s">
        <v>284</v>
      </c>
      <c r="F11" s="1" t="s">
        <v>28</v>
      </c>
      <c r="G11" s="1" t="s">
        <v>285</v>
      </c>
      <c r="H11" s="1" t="s">
        <v>17</v>
      </c>
      <c r="I11" s="1"/>
      <c r="J11" s="1"/>
      <c r="K11" s="26"/>
      <c r="L11" s="1" t="s">
        <v>286</v>
      </c>
      <c r="M11" s="1"/>
    </row>
    <row r="12" spans="1:13">
      <c r="A12" s="27">
        <v>45419</v>
      </c>
      <c r="B12" s="27">
        <v>45419</v>
      </c>
      <c r="C12" s="1" t="s">
        <v>119</v>
      </c>
      <c r="D12" s="1"/>
      <c r="E12" s="1" t="s">
        <v>287</v>
      </c>
      <c r="F12" s="1" t="s">
        <v>28</v>
      </c>
      <c r="G12" s="1" t="s">
        <v>288</v>
      </c>
      <c r="H12" s="1" t="s">
        <v>17</v>
      </c>
      <c r="I12" s="1"/>
      <c r="J12" s="1"/>
      <c r="K12" s="26"/>
      <c r="L12" s="1"/>
      <c r="M12" s="1"/>
    </row>
    <row r="13" spans="1:13">
      <c r="A13" s="27">
        <v>45420</v>
      </c>
      <c r="B13" s="27">
        <v>45420</v>
      </c>
      <c r="C13" s="1" t="s">
        <v>289</v>
      </c>
      <c r="D13" s="1"/>
      <c r="E13" s="1" t="s">
        <v>290</v>
      </c>
      <c r="F13" s="1" t="s">
        <v>28</v>
      </c>
      <c r="G13" s="1" t="s">
        <v>291</v>
      </c>
      <c r="H13" s="1" t="s">
        <v>34</v>
      </c>
      <c r="I13" s="1" t="s">
        <v>263</v>
      </c>
      <c r="J13" s="1" t="s">
        <v>25</v>
      </c>
      <c r="K13" s="26">
        <v>374000</v>
      </c>
      <c r="L13" s="1"/>
      <c r="M13" s="1"/>
    </row>
    <row r="14" spans="1:13">
      <c r="A14" s="27">
        <v>45420</v>
      </c>
      <c r="B14" s="27">
        <v>45420</v>
      </c>
      <c r="C14" s="1" t="s">
        <v>292</v>
      </c>
      <c r="D14" s="1"/>
      <c r="E14" s="1" t="s">
        <v>293</v>
      </c>
      <c r="F14" s="1" t="s">
        <v>28</v>
      </c>
      <c r="G14" s="1" t="s">
        <v>294</v>
      </c>
      <c r="H14" s="1" t="s">
        <v>36</v>
      </c>
      <c r="I14" s="1"/>
      <c r="J14" s="1"/>
      <c r="K14" s="26"/>
      <c r="L14" s="1"/>
      <c r="M14" s="1"/>
    </row>
    <row r="15" spans="1:13">
      <c r="A15" s="27">
        <v>45425</v>
      </c>
      <c r="B15" s="27">
        <v>45425</v>
      </c>
      <c r="C15" s="1" t="s">
        <v>295</v>
      </c>
      <c r="D15" s="1" t="s">
        <v>296</v>
      </c>
      <c r="E15" s="1" t="s">
        <v>297</v>
      </c>
      <c r="F15" s="1" t="s">
        <v>28</v>
      </c>
      <c r="G15" s="1" t="s">
        <v>298</v>
      </c>
      <c r="H15" s="1" t="s">
        <v>17</v>
      </c>
      <c r="I15" s="1"/>
      <c r="J15" s="1"/>
      <c r="K15" s="26"/>
      <c r="L15" s="1"/>
      <c r="M15" s="1"/>
    </row>
    <row r="16" spans="1:13">
      <c r="A16" s="27">
        <v>45432</v>
      </c>
      <c r="B16" s="27">
        <v>45432</v>
      </c>
      <c r="C16" s="1" t="s">
        <v>299</v>
      </c>
      <c r="D16" s="1"/>
      <c r="E16" s="1" t="s">
        <v>300</v>
      </c>
      <c r="F16" s="1" t="s">
        <v>28</v>
      </c>
      <c r="G16" s="1" t="s">
        <v>26</v>
      </c>
      <c r="H16" s="1" t="s">
        <v>36</v>
      </c>
      <c r="I16" s="1"/>
      <c r="J16" s="1"/>
      <c r="K16" s="26"/>
      <c r="L16" s="1"/>
      <c r="M16" s="1"/>
    </row>
    <row r="17" spans="1:13">
      <c r="A17" s="27">
        <v>45434</v>
      </c>
      <c r="B17" s="27">
        <v>45434</v>
      </c>
      <c r="C17" s="1" t="s">
        <v>301</v>
      </c>
      <c r="D17" s="1"/>
      <c r="E17" s="1" t="s">
        <v>302</v>
      </c>
      <c r="F17" s="1" t="s">
        <v>28</v>
      </c>
      <c r="G17" s="1" t="s">
        <v>303</v>
      </c>
      <c r="H17" s="1" t="s">
        <v>34</v>
      </c>
      <c r="I17" s="1" t="s">
        <v>263</v>
      </c>
      <c r="J17" s="1" t="s">
        <v>25</v>
      </c>
      <c r="K17" s="26">
        <v>374000</v>
      </c>
      <c r="L17" s="1"/>
      <c r="M17" s="1"/>
    </row>
    <row r="18" spans="1:13">
      <c r="A18" s="27">
        <v>45435</v>
      </c>
      <c r="B18" s="27">
        <v>45435</v>
      </c>
      <c r="C18" s="1" t="s">
        <v>304</v>
      </c>
      <c r="D18" s="1" t="s">
        <v>305</v>
      </c>
      <c r="E18" s="1" t="s">
        <v>306</v>
      </c>
      <c r="F18" s="1" t="s">
        <v>28</v>
      </c>
      <c r="G18" s="1" t="s">
        <v>307</v>
      </c>
      <c r="H18" s="1" t="s">
        <v>36</v>
      </c>
      <c r="I18" s="1"/>
      <c r="J18" s="1"/>
      <c r="K18" s="26"/>
      <c r="L18" s="1"/>
      <c r="M18" s="1"/>
    </row>
    <row r="19" spans="1:13">
      <c r="A19" s="27">
        <v>45436</v>
      </c>
      <c r="B19" s="27">
        <v>45436</v>
      </c>
      <c r="C19" s="1" t="s">
        <v>22</v>
      </c>
      <c r="D19" s="1" t="s">
        <v>308</v>
      </c>
      <c r="E19" s="1" t="s">
        <v>309</v>
      </c>
      <c r="F19" s="1" t="s">
        <v>28</v>
      </c>
      <c r="G19" s="1" t="s">
        <v>310</v>
      </c>
      <c r="H19" s="1" t="s">
        <v>36</v>
      </c>
      <c r="I19" s="1"/>
      <c r="J19" s="1"/>
      <c r="K19" s="26"/>
      <c r="L19" s="1"/>
      <c r="M19" s="1"/>
    </row>
    <row r="20" spans="1:13">
      <c r="A20" s="27">
        <v>45440</v>
      </c>
      <c r="B20" s="27">
        <v>45440</v>
      </c>
      <c r="C20" s="1" t="s">
        <v>23</v>
      </c>
      <c r="D20" s="1" t="s">
        <v>311</v>
      </c>
      <c r="E20" s="1" t="s">
        <v>312</v>
      </c>
      <c r="F20" s="1" t="s">
        <v>28</v>
      </c>
      <c r="G20" s="1" t="s">
        <v>313</v>
      </c>
      <c r="H20" s="1" t="s">
        <v>36</v>
      </c>
      <c r="I20" s="1"/>
      <c r="J20" s="1"/>
      <c r="K20" s="26"/>
      <c r="L20" s="1"/>
      <c r="M20" s="1"/>
    </row>
    <row r="21" spans="1:13">
      <c r="A21" s="27">
        <v>45440</v>
      </c>
      <c r="B21" s="27">
        <v>45440</v>
      </c>
      <c r="C21" s="1" t="s">
        <v>314</v>
      </c>
      <c r="D21" s="1"/>
      <c r="E21" s="1" t="s">
        <v>315</v>
      </c>
      <c r="F21" s="1" t="s">
        <v>316</v>
      </c>
      <c r="G21" s="1" t="s">
        <v>317</v>
      </c>
      <c r="H21" s="1" t="s">
        <v>36</v>
      </c>
      <c r="I21" s="1"/>
      <c r="J21" s="1"/>
      <c r="K21" s="26"/>
      <c r="L21" s="1"/>
      <c r="M21" s="1"/>
    </row>
    <row r="22" spans="1:13">
      <c r="A22" s="27">
        <v>45442</v>
      </c>
      <c r="B22" s="27">
        <v>45442</v>
      </c>
      <c r="C22" s="1" t="s">
        <v>318</v>
      </c>
      <c r="D22" s="1"/>
      <c r="E22" s="1" t="s">
        <v>319</v>
      </c>
      <c r="F22" s="1" t="s">
        <v>320</v>
      </c>
      <c r="G22" s="1" t="s">
        <v>321</v>
      </c>
      <c r="H22" s="1" t="s">
        <v>36</v>
      </c>
      <c r="I22" s="1"/>
      <c r="J22" s="1"/>
      <c r="K22" s="26"/>
      <c r="L22" s="1"/>
      <c r="M22" s="1"/>
    </row>
    <row r="23" spans="1:13">
      <c r="A23" s="27">
        <v>45443</v>
      </c>
      <c r="B23" s="27">
        <v>45443</v>
      </c>
      <c r="C23" s="1" t="s">
        <v>322</v>
      </c>
      <c r="D23" s="1" t="s">
        <v>323</v>
      </c>
      <c r="E23" s="1" t="s">
        <v>324</v>
      </c>
      <c r="F23" s="1" t="s">
        <v>27</v>
      </c>
      <c r="G23" s="1"/>
      <c r="H23" s="1" t="s">
        <v>34</v>
      </c>
      <c r="I23" s="1" t="s">
        <v>263</v>
      </c>
      <c r="J23" s="1" t="s">
        <v>25</v>
      </c>
      <c r="K23" s="26">
        <v>825000</v>
      </c>
      <c r="L23" s="1"/>
      <c r="M23" s="1"/>
    </row>
    <row r="24" spans="1:13">
      <c r="A24" s="27">
        <v>45446</v>
      </c>
      <c r="B24" s="27">
        <v>45446</v>
      </c>
      <c r="C24" s="1" t="s">
        <v>325</v>
      </c>
      <c r="D24" s="1"/>
      <c r="E24" s="1" t="s">
        <v>326</v>
      </c>
      <c r="F24" s="1" t="s">
        <v>27</v>
      </c>
      <c r="G24" s="1" t="s">
        <v>327</v>
      </c>
      <c r="H24" s="1" t="s">
        <v>36</v>
      </c>
      <c r="I24" s="1"/>
      <c r="J24" s="1"/>
      <c r="K24" s="26"/>
      <c r="L24" s="1"/>
      <c r="M24" s="1"/>
    </row>
    <row r="25" spans="1:13">
      <c r="A25" s="27">
        <v>45446</v>
      </c>
      <c r="B25" s="27">
        <v>45446</v>
      </c>
      <c r="C25" s="1" t="s">
        <v>328</v>
      </c>
      <c r="D25" s="1" t="s">
        <v>329</v>
      </c>
      <c r="E25" s="1" t="s">
        <v>330</v>
      </c>
      <c r="F25" s="1" t="s">
        <v>28</v>
      </c>
      <c r="G25" s="1" t="s">
        <v>331</v>
      </c>
      <c r="H25" s="1" t="s">
        <v>36</v>
      </c>
      <c r="I25" s="1" t="s">
        <v>263</v>
      </c>
      <c r="J25" s="1" t="s">
        <v>69</v>
      </c>
      <c r="K25" s="26">
        <v>660000</v>
      </c>
      <c r="L25" s="1"/>
      <c r="M25" s="1"/>
    </row>
    <row r="26" spans="1:13">
      <c r="A26" s="27">
        <v>45446</v>
      </c>
      <c r="B26" s="27">
        <v>45446</v>
      </c>
      <c r="C26" s="1" t="s">
        <v>332</v>
      </c>
      <c r="D26" s="1"/>
      <c r="E26" s="1" t="s">
        <v>42</v>
      </c>
      <c r="F26" s="1" t="s">
        <v>27</v>
      </c>
      <c r="G26" s="1" t="s">
        <v>333</v>
      </c>
      <c r="H26" s="1" t="s">
        <v>36</v>
      </c>
      <c r="I26" s="1"/>
      <c r="J26" s="1"/>
      <c r="K26" s="26"/>
      <c r="L26" s="1"/>
      <c r="M26" s="1"/>
    </row>
    <row r="27" spans="1:13">
      <c r="A27" s="27">
        <v>45448</v>
      </c>
      <c r="B27" s="27">
        <v>45448</v>
      </c>
      <c r="C27" s="28" t="s">
        <v>334</v>
      </c>
      <c r="D27" s="1"/>
      <c r="E27" s="1" t="s">
        <v>335</v>
      </c>
      <c r="F27" s="1" t="s">
        <v>28</v>
      </c>
      <c r="G27" s="1" t="s">
        <v>336</v>
      </c>
      <c r="H27" s="1" t="s">
        <v>36</v>
      </c>
      <c r="I27" s="1"/>
      <c r="J27" s="1"/>
      <c r="K27" s="26"/>
      <c r="L27" s="1"/>
      <c r="M27" s="1"/>
    </row>
    <row r="28" spans="1:13">
      <c r="A28" s="27">
        <v>45448</v>
      </c>
      <c r="B28" s="27">
        <v>45448</v>
      </c>
      <c r="C28" s="1" t="s">
        <v>337</v>
      </c>
      <c r="D28" s="1"/>
      <c r="E28" s="1" t="s">
        <v>338</v>
      </c>
      <c r="F28" s="1" t="s">
        <v>27</v>
      </c>
      <c r="G28" s="1" t="s">
        <v>339</v>
      </c>
      <c r="H28" s="1" t="s">
        <v>36</v>
      </c>
      <c r="I28" s="1"/>
      <c r="J28" s="1"/>
      <c r="K28" s="26"/>
      <c r="L28" s="1"/>
      <c r="M28" s="1"/>
    </row>
    <row r="29" spans="1:13">
      <c r="A29" s="27">
        <v>45448</v>
      </c>
      <c r="B29" s="27">
        <v>45448</v>
      </c>
      <c r="C29" s="1" t="s">
        <v>340</v>
      </c>
      <c r="D29" s="1"/>
      <c r="E29" s="1" t="s">
        <v>341</v>
      </c>
      <c r="F29" s="1" t="s">
        <v>27</v>
      </c>
      <c r="G29" s="1" t="s">
        <v>342</v>
      </c>
      <c r="H29" s="1" t="s">
        <v>36</v>
      </c>
      <c r="I29" s="1"/>
      <c r="J29" s="1"/>
      <c r="K29" s="26"/>
      <c r="L29" s="1"/>
      <c r="M29" s="1"/>
    </row>
    <row r="30" spans="1:13">
      <c r="A30" s="27">
        <v>45448</v>
      </c>
      <c r="B30" s="27">
        <v>45448</v>
      </c>
      <c r="C30" s="1" t="s">
        <v>343</v>
      </c>
      <c r="D30" s="1"/>
      <c r="E30" s="1" t="s">
        <v>344</v>
      </c>
      <c r="F30" s="1" t="s">
        <v>27</v>
      </c>
      <c r="G30" s="1" t="s">
        <v>345</v>
      </c>
      <c r="H30" s="1" t="s">
        <v>36</v>
      </c>
      <c r="I30" s="1"/>
      <c r="J30" s="1"/>
      <c r="K30" s="26"/>
      <c r="L30" s="1"/>
      <c r="M30" s="1"/>
    </row>
    <row r="31" spans="1:13">
      <c r="A31" s="27">
        <v>45450</v>
      </c>
      <c r="B31" s="27">
        <v>45450</v>
      </c>
      <c r="C31" s="1" t="s">
        <v>346</v>
      </c>
      <c r="D31" s="1"/>
      <c r="E31" s="1" t="s">
        <v>347</v>
      </c>
      <c r="F31" s="1" t="s">
        <v>316</v>
      </c>
      <c r="G31" s="1" t="s">
        <v>348</v>
      </c>
      <c r="H31" s="1" t="s">
        <v>36</v>
      </c>
      <c r="I31" s="1"/>
      <c r="J31" s="1"/>
      <c r="K31" s="26"/>
      <c r="L31" s="1"/>
      <c r="M31" s="1"/>
    </row>
    <row r="32" spans="1:13">
      <c r="A32" s="27">
        <v>45450</v>
      </c>
      <c r="B32" s="27">
        <v>45450</v>
      </c>
      <c r="C32" s="1" t="s">
        <v>349</v>
      </c>
      <c r="D32" s="1"/>
      <c r="E32" s="1" t="s">
        <v>350</v>
      </c>
      <c r="F32" s="1" t="s">
        <v>27</v>
      </c>
      <c r="G32" s="1" t="s">
        <v>351</v>
      </c>
      <c r="H32" s="1" t="s">
        <v>36</v>
      </c>
      <c r="I32" s="1"/>
      <c r="J32" s="1"/>
      <c r="K32" s="26"/>
      <c r="L32" s="1"/>
      <c r="M32" s="1"/>
    </row>
    <row r="33" spans="1:13">
      <c r="A33" s="27">
        <v>45450</v>
      </c>
      <c r="B33" s="27">
        <v>45450</v>
      </c>
      <c r="C33" s="1" t="s">
        <v>352</v>
      </c>
      <c r="D33" s="1"/>
      <c r="E33" s="1" t="s">
        <v>353</v>
      </c>
      <c r="F33" s="1" t="s">
        <v>28</v>
      </c>
      <c r="G33" s="1" t="s">
        <v>354</v>
      </c>
      <c r="H33" s="1" t="s">
        <v>34</v>
      </c>
      <c r="I33" s="1" t="s">
        <v>263</v>
      </c>
      <c r="J33" s="1" t="s">
        <v>25</v>
      </c>
      <c r="K33" s="26">
        <v>374000</v>
      </c>
      <c r="L33" s="1"/>
      <c r="M33" s="1"/>
    </row>
    <row r="34" spans="1:13">
      <c r="A34" s="27">
        <v>45450</v>
      </c>
      <c r="B34" s="27">
        <v>45450</v>
      </c>
      <c r="C34" s="1" t="s">
        <v>355</v>
      </c>
      <c r="D34" s="1" t="s">
        <v>356</v>
      </c>
      <c r="E34" s="1" t="s">
        <v>357</v>
      </c>
      <c r="F34" s="1" t="s">
        <v>27</v>
      </c>
      <c r="G34" s="1" t="s">
        <v>358</v>
      </c>
      <c r="H34" s="1" t="s">
        <v>36</v>
      </c>
      <c r="I34" s="1"/>
      <c r="J34" s="1"/>
      <c r="K34" s="26"/>
      <c r="L34" s="1"/>
      <c r="M34" s="1"/>
    </row>
    <row r="35" spans="1:13">
      <c r="A35" s="27">
        <v>45451</v>
      </c>
      <c r="B35" s="27">
        <v>45451</v>
      </c>
      <c r="C35" s="1" t="s">
        <v>359</v>
      </c>
      <c r="D35" s="1"/>
      <c r="E35" s="1" t="s">
        <v>360</v>
      </c>
      <c r="F35" s="1" t="s">
        <v>27</v>
      </c>
      <c r="G35" s="1" t="s">
        <v>361</v>
      </c>
      <c r="H35" s="1" t="s">
        <v>17</v>
      </c>
      <c r="I35" s="1"/>
      <c r="J35" s="1"/>
      <c r="K35" s="26"/>
      <c r="L35" s="1"/>
      <c r="M35" s="1"/>
    </row>
    <row r="36" spans="1:13">
      <c r="A36" s="27">
        <v>45453</v>
      </c>
      <c r="B36" s="27">
        <v>45453</v>
      </c>
      <c r="C36" s="1" t="s">
        <v>362</v>
      </c>
      <c r="D36" s="1"/>
      <c r="E36" s="1" t="s">
        <v>363</v>
      </c>
      <c r="F36" s="1" t="s">
        <v>27</v>
      </c>
      <c r="G36" s="1" t="s">
        <v>364</v>
      </c>
      <c r="H36" s="1" t="s">
        <v>36</v>
      </c>
      <c r="I36" s="1"/>
      <c r="J36" s="1"/>
      <c r="K36" s="26"/>
      <c r="L36" s="1"/>
      <c r="M36" s="1"/>
    </row>
    <row r="37" spans="1:13">
      <c r="A37" s="27">
        <v>45453</v>
      </c>
      <c r="B37" s="27">
        <v>45453</v>
      </c>
      <c r="C37" s="1" t="s">
        <v>365</v>
      </c>
      <c r="D37" s="1" t="s">
        <v>366</v>
      </c>
      <c r="E37" s="1" t="s">
        <v>367</v>
      </c>
      <c r="F37" s="1" t="s">
        <v>27</v>
      </c>
      <c r="G37" s="1" t="s">
        <v>368</v>
      </c>
      <c r="H37" s="1" t="s">
        <v>36</v>
      </c>
      <c r="I37" s="1"/>
      <c r="J37" s="1"/>
      <c r="K37" s="26"/>
      <c r="L37" s="1"/>
      <c r="M37" s="1"/>
    </row>
    <row r="38" spans="1:13">
      <c r="A38" s="27">
        <v>45453</v>
      </c>
      <c r="B38" s="27">
        <v>45453</v>
      </c>
      <c r="C38" s="1" t="s">
        <v>369</v>
      </c>
      <c r="D38" s="1" t="s">
        <v>370</v>
      </c>
      <c r="E38" s="1" t="s">
        <v>371</v>
      </c>
      <c r="F38" s="1" t="s">
        <v>27</v>
      </c>
      <c r="G38" s="1" t="s">
        <v>372</v>
      </c>
      <c r="H38" s="1" t="s">
        <v>17</v>
      </c>
      <c r="I38" s="1"/>
      <c r="J38" s="1"/>
      <c r="K38" s="26"/>
      <c r="L38" s="1"/>
      <c r="M38" s="1"/>
    </row>
    <row r="39" spans="1:13">
      <c r="A39" s="27">
        <v>45453</v>
      </c>
      <c r="B39" s="27">
        <v>45453</v>
      </c>
      <c r="C39" s="1" t="s">
        <v>373</v>
      </c>
      <c r="D39" s="1" t="s">
        <v>374</v>
      </c>
      <c r="E39" s="1" t="s">
        <v>94</v>
      </c>
      <c r="F39" s="1" t="s">
        <v>28</v>
      </c>
      <c r="G39" s="1" t="s">
        <v>375</v>
      </c>
      <c r="H39" s="1" t="s">
        <v>36</v>
      </c>
      <c r="I39" s="1"/>
      <c r="J39" s="1"/>
      <c r="K39" s="26"/>
      <c r="L39" s="1"/>
      <c r="M39" s="1"/>
    </row>
    <row r="40" spans="1:13">
      <c r="A40" s="27">
        <v>45455</v>
      </c>
      <c r="B40" s="27">
        <v>45455</v>
      </c>
      <c r="C40" s="1" t="s">
        <v>38</v>
      </c>
      <c r="D40" s="1" t="s">
        <v>376</v>
      </c>
      <c r="E40" s="1" t="s">
        <v>377</v>
      </c>
      <c r="F40" s="1" t="s">
        <v>27</v>
      </c>
      <c r="G40" s="1" t="s">
        <v>336</v>
      </c>
      <c r="H40" s="1" t="s">
        <v>36</v>
      </c>
      <c r="I40" s="1"/>
      <c r="J40" s="1"/>
      <c r="K40" s="26"/>
      <c r="L40" s="1"/>
      <c r="M40" s="1"/>
    </row>
    <row r="41" spans="1:13">
      <c r="A41" s="27">
        <v>45455</v>
      </c>
      <c r="B41" s="27">
        <v>45455</v>
      </c>
      <c r="C41" s="1" t="s">
        <v>378</v>
      </c>
      <c r="D41" s="1" t="s">
        <v>379</v>
      </c>
      <c r="E41" s="1" t="s">
        <v>380</v>
      </c>
      <c r="F41" s="1" t="s">
        <v>27</v>
      </c>
      <c r="G41" s="1" t="s">
        <v>381</v>
      </c>
      <c r="H41" s="1" t="s">
        <v>34</v>
      </c>
      <c r="I41" s="1" t="s">
        <v>263</v>
      </c>
      <c r="J41" s="1" t="s">
        <v>25</v>
      </c>
      <c r="K41" s="26">
        <v>550000</v>
      </c>
      <c r="L41" s="1"/>
      <c r="M41" s="1"/>
    </row>
    <row r="42" spans="1:13">
      <c r="A42" s="27">
        <v>45455</v>
      </c>
      <c r="B42" s="27">
        <v>45455</v>
      </c>
      <c r="C42" s="1" t="s">
        <v>382</v>
      </c>
      <c r="D42" s="1" t="s">
        <v>24</v>
      </c>
      <c r="E42" s="1" t="s">
        <v>383</v>
      </c>
      <c r="F42" s="1" t="s">
        <v>30</v>
      </c>
      <c r="G42" s="1" t="s">
        <v>384</v>
      </c>
      <c r="H42" s="1" t="s">
        <v>36</v>
      </c>
      <c r="I42" s="1"/>
      <c r="J42" s="1"/>
      <c r="K42" s="26"/>
      <c r="L42" s="1"/>
      <c r="M42" s="1"/>
    </row>
    <row r="43" spans="1:13">
      <c r="A43" s="27">
        <v>45456</v>
      </c>
      <c r="B43" s="27">
        <v>45456</v>
      </c>
      <c r="C43" s="1" t="s">
        <v>385</v>
      </c>
      <c r="D43" s="1" t="s">
        <v>386</v>
      </c>
      <c r="E43" s="1" t="s">
        <v>37</v>
      </c>
      <c r="F43" s="1" t="s">
        <v>28</v>
      </c>
      <c r="G43" s="1" t="s">
        <v>387</v>
      </c>
      <c r="H43" s="1" t="s">
        <v>36</v>
      </c>
      <c r="I43" s="1"/>
      <c r="J43" s="1"/>
      <c r="K43" s="26"/>
      <c r="L43" s="1"/>
      <c r="M43" s="1"/>
    </row>
    <row r="44" spans="1:13">
      <c r="A44" s="27">
        <v>45456</v>
      </c>
      <c r="B44" s="27">
        <v>45456</v>
      </c>
      <c r="C44" s="1" t="s">
        <v>388</v>
      </c>
      <c r="D44" s="1"/>
      <c r="E44" s="1" t="s">
        <v>389</v>
      </c>
      <c r="F44" s="1" t="s">
        <v>316</v>
      </c>
      <c r="G44" s="1" t="s">
        <v>390</v>
      </c>
      <c r="H44" s="1" t="s">
        <v>36</v>
      </c>
      <c r="I44" s="1"/>
      <c r="J44" s="1"/>
      <c r="K44" s="26"/>
      <c r="L44" s="1"/>
      <c r="M44" s="1"/>
    </row>
    <row r="45" spans="1:13">
      <c r="A45" s="27">
        <v>45457</v>
      </c>
      <c r="B45" s="27">
        <v>45457</v>
      </c>
      <c r="C45" s="1" t="s">
        <v>391</v>
      </c>
      <c r="D45" s="1" t="s">
        <v>392</v>
      </c>
      <c r="E45" s="1" t="s">
        <v>393</v>
      </c>
      <c r="F45" s="1" t="s">
        <v>27</v>
      </c>
      <c r="G45" s="1" t="s">
        <v>394</v>
      </c>
      <c r="H45" s="1" t="s">
        <v>36</v>
      </c>
      <c r="I45" s="1"/>
      <c r="J45" s="1"/>
      <c r="K45" s="26"/>
      <c r="L45" s="1"/>
      <c r="M45" s="1"/>
    </row>
    <row r="46" spans="1:13">
      <c r="A46" s="27">
        <v>45460</v>
      </c>
      <c r="B46" s="27">
        <v>45460</v>
      </c>
      <c r="C46" s="1" t="s">
        <v>395</v>
      </c>
      <c r="D46" s="1"/>
      <c r="E46" s="1" t="s">
        <v>396</v>
      </c>
      <c r="F46" s="1" t="s">
        <v>397</v>
      </c>
      <c r="G46" s="1" t="s">
        <v>398</v>
      </c>
      <c r="H46" s="1" t="s">
        <v>34</v>
      </c>
      <c r="I46" s="1" t="s">
        <v>263</v>
      </c>
      <c r="J46" s="1" t="s">
        <v>25</v>
      </c>
      <c r="K46" s="26">
        <v>66000</v>
      </c>
      <c r="L46" s="1"/>
      <c r="M46" s="1"/>
    </row>
    <row r="47" spans="1:13">
      <c r="A47" s="27">
        <v>45460</v>
      </c>
      <c r="B47" s="27">
        <v>45460</v>
      </c>
      <c r="C47" s="1" t="s">
        <v>20</v>
      </c>
      <c r="D47" s="1"/>
      <c r="E47" s="1" t="s">
        <v>123</v>
      </c>
      <c r="F47" s="1" t="s">
        <v>27</v>
      </c>
      <c r="G47" s="1" t="s">
        <v>41</v>
      </c>
      <c r="H47" s="1" t="s">
        <v>36</v>
      </c>
      <c r="I47" s="1"/>
      <c r="J47" s="1"/>
      <c r="K47" s="26"/>
      <c r="L47" s="1"/>
      <c r="M47" s="1"/>
    </row>
    <row r="48" spans="1:13">
      <c r="A48" s="27">
        <v>45460</v>
      </c>
      <c r="B48" s="27">
        <v>45460</v>
      </c>
      <c r="C48" s="1" t="s">
        <v>20</v>
      </c>
      <c r="D48" s="1"/>
      <c r="E48" s="1" t="s">
        <v>90</v>
      </c>
      <c r="F48" s="1" t="s">
        <v>27</v>
      </c>
      <c r="G48" s="1" t="s">
        <v>399</v>
      </c>
      <c r="H48" s="1" t="s">
        <v>36</v>
      </c>
      <c r="I48" s="1"/>
      <c r="J48" s="1"/>
      <c r="K48" s="26"/>
      <c r="L48" s="1"/>
      <c r="M48" s="1"/>
    </row>
    <row r="49" spans="1:13">
      <c r="A49" s="27">
        <v>45460</v>
      </c>
      <c r="B49" s="27">
        <v>45460</v>
      </c>
      <c r="C49" s="1" t="s">
        <v>400</v>
      </c>
      <c r="D49" s="1"/>
      <c r="E49" s="1" t="s">
        <v>401</v>
      </c>
      <c r="F49" s="1" t="s">
        <v>27</v>
      </c>
      <c r="G49" s="1" t="s">
        <v>402</v>
      </c>
      <c r="H49" s="1" t="s">
        <v>36</v>
      </c>
      <c r="I49" s="1"/>
      <c r="J49" s="1"/>
      <c r="K49" s="26"/>
      <c r="L49" s="1"/>
      <c r="M49" s="1"/>
    </row>
    <row r="50" spans="1:13">
      <c r="A50" s="27">
        <v>45461</v>
      </c>
      <c r="B50" s="27">
        <v>45461</v>
      </c>
      <c r="C50" s="1" t="s">
        <v>403</v>
      </c>
      <c r="D50" s="1"/>
      <c r="E50" s="1" t="s">
        <v>109</v>
      </c>
      <c r="F50" s="1" t="s">
        <v>27</v>
      </c>
      <c r="G50" s="1" t="s">
        <v>404</v>
      </c>
      <c r="H50" s="1" t="s">
        <v>36</v>
      </c>
      <c r="I50" s="1"/>
      <c r="J50" s="1"/>
      <c r="K50" s="26"/>
      <c r="L50" s="1"/>
      <c r="M50" s="1"/>
    </row>
    <row r="51" spans="1:13">
      <c r="A51" s="27">
        <v>45461</v>
      </c>
      <c r="B51" s="27">
        <v>45461</v>
      </c>
      <c r="C51" s="1" t="s">
        <v>405</v>
      </c>
      <c r="D51" s="1"/>
      <c r="E51" s="1" t="s">
        <v>406</v>
      </c>
      <c r="F51" s="1" t="s">
        <v>27</v>
      </c>
      <c r="G51" s="1" t="s">
        <v>407</v>
      </c>
      <c r="H51" s="1" t="s">
        <v>36</v>
      </c>
      <c r="I51" s="1"/>
      <c r="J51" s="1"/>
      <c r="K51" s="26"/>
      <c r="L51" s="1"/>
      <c r="M51" s="1"/>
    </row>
    <row r="52" spans="1:13">
      <c r="A52" s="27">
        <v>45462</v>
      </c>
      <c r="B52" s="27">
        <v>45462</v>
      </c>
      <c r="C52" s="1" t="s">
        <v>38</v>
      </c>
      <c r="D52" s="1"/>
      <c r="E52" s="1" t="s">
        <v>408</v>
      </c>
      <c r="F52" s="1" t="s">
        <v>27</v>
      </c>
      <c r="G52" s="1" t="s">
        <v>409</v>
      </c>
      <c r="H52" s="1" t="s">
        <v>36</v>
      </c>
      <c r="I52" s="1"/>
      <c r="J52" s="1"/>
      <c r="K52" s="26"/>
      <c r="L52" s="1"/>
      <c r="M52" s="1"/>
    </row>
    <row r="53" spans="1:13">
      <c r="A53" s="27">
        <v>45462</v>
      </c>
      <c r="B53" s="27">
        <v>45462</v>
      </c>
      <c r="C53" s="1" t="s">
        <v>410</v>
      </c>
      <c r="D53" s="1" t="s">
        <v>411</v>
      </c>
      <c r="E53" s="1" t="s">
        <v>412</v>
      </c>
      <c r="F53" s="1" t="s">
        <v>28</v>
      </c>
      <c r="G53" s="1" t="s">
        <v>413</v>
      </c>
      <c r="H53" s="1" t="s">
        <v>36</v>
      </c>
      <c r="I53" s="1"/>
      <c r="J53" s="1"/>
      <c r="K53" s="26"/>
      <c r="L53" s="1"/>
      <c r="M53" s="1"/>
    </row>
    <row r="54" spans="1:13">
      <c r="A54" s="27">
        <v>45462</v>
      </c>
      <c r="B54" s="27">
        <v>45462</v>
      </c>
      <c r="C54" s="1" t="s">
        <v>44</v>
      </c>
      <c r="D54" s="1"/>
      <c r="E54" s="1" t="s">
        <v>414</v>
      </c>
      <c r="F54" s="1" t="s">
        <v>28</v>
      </c>
      <c r="G54" s="1" t="s">
        <v>415</v>
      </c>
      <c r="H54" s="1" t="s">
        <v>36</v>
      </c>
      <c r="I54" s="1"/>
      <c r="J54" s="1"/>
      <c r="K54" s="26"/>
      <c r="L54" s="1"/>
      <c r="M54" s="1"/>
    </row>
    <row r="55" spans="1:13">
      <c r="A55" s="27">
        <v>45462</v>
      </c>
      <c r="B55" s="27">
        <v>45462</v>
      </c>
      <c r="C55" s="1" t="s">
        <v>416</v>
      </c>
      <c r="D55" s="1"/>
      <c r="E55" s="1" t="s">
        <v>417</v>
      </c>
      <c r="F55" s="1" t="s">
        <v>27</v>
      </c>
      <c r="G55" s="1" t="s">
        <v>418</v>
      </c>
      <c r="H55" s="1" t="s">
        <v>36</v>
      </c>
      <c r="I55" s="1"/>
      <c r="J55" s="1"/>
      <c r="K55" s="26"/>
      <c r="L55" s="1"/>
      <c r="M55" s="1"/>
    </row>
    <row r="56" spans="1:13">
      <c r="A56" s="27">
        <v>45462</v>
      </c>
      <c r="B56" s="27">
        <v>45462</v>
      </c>
      <c r="C56" s="1" t="s">
        <v>419</v>
      </c>
      <c r="D56" s="1"/>
      <c r="E56" s="1" t="s">
        <v>420</v>
      </c>
      <c r="F56" s="1" t="s">
        <v>28</v>
      </c>
      <c r="G56" s="1" t="s">
        <v>421</v>
      </c>
      <c r="H56" s="1" t="s">
        <v>36</v>
      </c>
      <c r="I56" s="1"/>
      <c r="J56" s="1"/>
      <c r="K56" s="26"/>
      <c r="L56" s="1"/>
      <c r="M56" s="1"/>
    </row>
    <row r="57" spans="1:13">
      <c r="A57" s="27">
        <v>45463</v>
      </c>
      <c r="B57" s="27">
        <v>45463</v>
      </c>
      <c r="C57" s="1" t="s">
        <v>422</v>
      </c>
      <c r="D57" s="1" t="s">
        <v>423</v>
      </c>
      <c r="E57" s="1" t="s">
        <v>424</v>
      </c>
      <c r="F57" s="1" t="s">
        <v>27</v>
      </c>
      <c r="G57" s="1" t="s">
        <v>425</v>
      </c>
      <c r="H57" s="1" t="s">
        <v>36</v>
      </c>
      <c r="I57" s="1"/>
      <c r="J57" s="1"/>
      <c r="K57" s="26"/>
      <c r="L57" s="1"/>
      <c r="M57" s="1"/>
    </row>
    <row r="58" spans="1:13">
      <c r="A58" s="27">
        <v>45463</v>
      </c>
      <c r="B58" s="27">
        <v>45463</v>
      </c>
      <c r="C58" s="1" t="s">
        <v>29</v>
      </c>
      <c r="D58" s="1" t="s">
        <v>426</v>
      </c>
      <c r="E58" s="1" t="s">
        <v>427</v>
      </c>
      <c r="F58" s="1" t="s">
        <v>27</v>
      </c>
      <c r="G58" s="1" t="s">
        <v>428</v>
      </c>
      <c r="H58" s="1" t="s">
        <v>36</v>
      </c>
      <c r="I58" s="1"/>
      <c r="J58" s="1"/>
      <c r="K58" s="26"/>
      <c r="L58" s="1"/>
      <c r="M58" s="1"/>
    </row>
    <row r="59" spans="1:13">
      <c r="A59" s="27">
        <v>45464</v>
      </c>
      <c r="B59" s="27">
        <v>45464</v>
      </c>
      <c r="C59" s="1" t="s">
        <v>422</v>
      </c>
      <c r="D59" s="1" t="s">
        <v>429</v>
      </c>
      <c r="E59" s="1" t="s">
        <v>430</v>
      </c>
      <c r="F59" s="1" t="s">
        <v>27</v>
      </c>
      <c r="G59" s="1" t="s">
        <v>431</v>
      </c>
      <c r="H59" s="1" t="s">
        <v>34</v>
      </c>
      <c r="I59" s="1" t="s">
        <v>263</v>
      </c>
      <c r="J59" s="1" t="s">
        <v>25</v>
      </c>
      <c r="K59" s="26">
        <v>825000</v>
      </c>
      <c r="L59" s="1"/>
      <c r="M59" s="1"/>
    </row>
    <row r="60" spans="1:13">
      <c r="A60" s="27">
        <v>45464</v>
      </c>
      <c r="B60" s="27">
        <v>45464</v>
      </c>
      <c r="C60" s="1" t="s">
        <v>432</v>
      </c>
      <c r="D60" s="1" t="s">
        <v>433</v>
      </c>
      <c r="E60" s="1" t="s">
        <v>434</v>
      </c>
      <c r="F60" s="1" t="s">
        <v>27</v>
      </c>
      <c r="G60" s="1" t="s">
        <v>431</v>
      </c>
      <c r="H60" s="1" t="s">
        <v>36</v>
      </c>
      <c r="I60" s="1"/>
      <c r="J60" s="1"/>
      <c r="K60" s="26"/>
      <c r="L60" s="1"/>
      <c r="M60" s="1"/>
    </row>
    <row r="61" spans="1:13">
      <c r="A61" s="27">
        <v>45467</v>
      </c>
      <c r="B61" s="27">
        <v>45467</v>
      </c>
      <c r="C61" s="1" t="s">
        <v>435</v>
      </c>
      <c r="D61" s="1" t="s">
        <v>436</v>
      </c>
      <c r="E61" s="1" t="s">
        <v>437</v>
      </c>
      <c r="F61" s="1" t="s">
        <v>27</v>
      </c>
      <c r="G61" s="1" t="s">
        <v>438</v>
      </c>
      <c r="H61" s="1" t="s">
        <v>34</v>
      </c>
      <c r="I61" s="1" t="s">
        <v>263</v>
      </c>
      <c r="J61" s="1" t="s">
        <v>25</v>
      </c>
      <c r="K61" s="26">
        <v>825000</v>
      </c>
      <c r="L61" s="1"/>
      <c r="M61" s="1"/>
    </row>
    <row r="62" spans="1:13">
      <c r="A62" s="27">
        <v>45467</v>
      </c>
      <c r="B62" s="27">
        <v>45467</v>
      </c>
      <c r="C62" s="1" t="s">
        <v>439</v>
      </c>
      <c r="D62" s="1" t="s">
        <v>440</v>
      </c>
      <c r="E62" s="1" t="s">
        <v>441</v>
      </c>
      <c r="F62" s="1" t="s">
        <v>27</v>
      </c>
      <c r="G62" s="1" t="s">
        <v>442</v>
      </c>
      <c r="H62" s="1" t="s">
        <v>36</v>
      </c>
      <c r="I62" s="1"/>
      <c r="J62" s="1"/>
      <c r="K62" s="26"/>
      <c r="L62" s="1"/>
      <c r="M62" s="1"/>
    </row>
    <row r="63" spans="1:13">
      <c r="A63" s="27">
        <v>45468</v>
      </c>
      <c r="B63" s="27">
        <v>45468</v>
      </c>
      <c r="C63" s="1" t="s">
        <v>38</v>
      </c>
      <c r="D63" s="1" t="s">
        <v>39</v>
      </c>
      <c r="E63" s="1" t="s">
        <v>40</v>
      </c>
      <c r="F63" s="1" t="s">
        <v>27</v>
      </c>
      <c r="G63" s="1" t="s">
        <v>443</v>
      </c>
      <c r="H63" s="1" t="s">
        <v>34</v>
      </c>
      <c r="I63" s="1" t="s">
        <v>263</v>
      </c>
      <c r="J63" s="1" t="s">
        <v>69</v>
      </c>
      <c r="K63" s="26">
        <v>1100000</v>
      </c>
      <c r="L63" s="1"/>
      <c r="M63" s="1"/>
    </row>
    <row r="64" spans="1:13">
      <c r="A64" s="27">
        <v>45468</v>
      </c>
      <c r="B64" s="27">
        <v>45468</v>
      </c>
      <c r="C64" s="1" t="s">
        <v>38</v>
      </c>
      <c r="D64" s="1" t="s">
        <v>444</v>
      </c>
      <c r="E64" s="1" t="s">
        <v>445</v>
      </c>
      <c r="F64" s="1" t="s">
        <v>27</v>
      </c>
      <c r="G64" s="1" t="s">
        <v>431</v>
      </c>
      <c r="H64" s="1" t="s">
        <v>36</v>
      </c>
      <c r="I64" s="1"/>
      <c r="J64" s="1"/>
      <c r="K64" s="26"/>
      <c r="L64" s="1"/>
      <c r="M64" s="1"/>
    </row>
    <row r="65" spans="1:13">
      <c r="A65" s="27">
        <v>45468</v>
      </c>
      <c r="B65" s="27">
        <v>45468</v>
      </c>
      <c r="C65" s="1" t="s">
        <v>446</v>
      </c>
      <c r="D65" s="1" t="s">
        <v>447</v>
      </c>
      <c r="E65" s="1" t="s">
        <v>448</v>
      </c>
      <c r="F65" s="1" t="s">
        <v>27</v>
      </c>
      <c r="G65" s="1" t="s">
        <v>449</v>
      </c>
      <c r="H65" s="1" t="s">
        <v>36</v>
      </c>
      <c r="I65" s="1"/>
      <c r="J65" s="1"/>
      <c r="K65" s="26"/>
      <c r="L65" s="1"/>
      <c r="M65" s="1"/>
    </row>
    <row r="66" spans="1:13">
      <c r="A66" s="27">
        <v>45468</v>
      </c>
      <c r="B66" s="27">
        <v>45468</v>
      </c>
      <c r="C66" s="1"/>
      <c r="D66" s="1"/>
      <c r="E66" s="1" t="s">
        <v>450</v>
      </c>
      <c r="F66" s="1" t="s">
        <v>397</v>
      </c>
      <c r="G66" s="1" t="s">
        <v>17</v>
      </c>
      <c r="H66" s="1" t="s">
        <v>17</v>
      </c>
      <c r="I66" s="1"/>
      <c r="J66" s="1"/>
      <c r="K66" s="26"/>
      <c r="L66" s="1"/>
      <c r="M66" s="1"/>
    </row>
    <row r="67" spans="1:13">
      <c r="A67" s="27">
        <v>45469</v>
      </c>
      <c r="B67" s="27">
        <v>45469</v>
      </c>
      <c r="C67" s="1" t="s">
        <v>451</v>
      </c>
      <c r="D67" s="1" t="s">
        <v>452</v>
      </c>
      <c r="E67" s="1" t="s">
        <v>453</v>
      </c>
      <c r="F67" s="1" t="s">
        <v>27</v>
      </c>
      <c r="G67" s="1" t="s">
        <v>41</v>
      </c>
      <c r="H67" s="1" t="s">
        <v>36</v>
      </c>
      <c r="I67" s="1"/>
      <c r="J67" s="1"/>
      <c r="K67" s="26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26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26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26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26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26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26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26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26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26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26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26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26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26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26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26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26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26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26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26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26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26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26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26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26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26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26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26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26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26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26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26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26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6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6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6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6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6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6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6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6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6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6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6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6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6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6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6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6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6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6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6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6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6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6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6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6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6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6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6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6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6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6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6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6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6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6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6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6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6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6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6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6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6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6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6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6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6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6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6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6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6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6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6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6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6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6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6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6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6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6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6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6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6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6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6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6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6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6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6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6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6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6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6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6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6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6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6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6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6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6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6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6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6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6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6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6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6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6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6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6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6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6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6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6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6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6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6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6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6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6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6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6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6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6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6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6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6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6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6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6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6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6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6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6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6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6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6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6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6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6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6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6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6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6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6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6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6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6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6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6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6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6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6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6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6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6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6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6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6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6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6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6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6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6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6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6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6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6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6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6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6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6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6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6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6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6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6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6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6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6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6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6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6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6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6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6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6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6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6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6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6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6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6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6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6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6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6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6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6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6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6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6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6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6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6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6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6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6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6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6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6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6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6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6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6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6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6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6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6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6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6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6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6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6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6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6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6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6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6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6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6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6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6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6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6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6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6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6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6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6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6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6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6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6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6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6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6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6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6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6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6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6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6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6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6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6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6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6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6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6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6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6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6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6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6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6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6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6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6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6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6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6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6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6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6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6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6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6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6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6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6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6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6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6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6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6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6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6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6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6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6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6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6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6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6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6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6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6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6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6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6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6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6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6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6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6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6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6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6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6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6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6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6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6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6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6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6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6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6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6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6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6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6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6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6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6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6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6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6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6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6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6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6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6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6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6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6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6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6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6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6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6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6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6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6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6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6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6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6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6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6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6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6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6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6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6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6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6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6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6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6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6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6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6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6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6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6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6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6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6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6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6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6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6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6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6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6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6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6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6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6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6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6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6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6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6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6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6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6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6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6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6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6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6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6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6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6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6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6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6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6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6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6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6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6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6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6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6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6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6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6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6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6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6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6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6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6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6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6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6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6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6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6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6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6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6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6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6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6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6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6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6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6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6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6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6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6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6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6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6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6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6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6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6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6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6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6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6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6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6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6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6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6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6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6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6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6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6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6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6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6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6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6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6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6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6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6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6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6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6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6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6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6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6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6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6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6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6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6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6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6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6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6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6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6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6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6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6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6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6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6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6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6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6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6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6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6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6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6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6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6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6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6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6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6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6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6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6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6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6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6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6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6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6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6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6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6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6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6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6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6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6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6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6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6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6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6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6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6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6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6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6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6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6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6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6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6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6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6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6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6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6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6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6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6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6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6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6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6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6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6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6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6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6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6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6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6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6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6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6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6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6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6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6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6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6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6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6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6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6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6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6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6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6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6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6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6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6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6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6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6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6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6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6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6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6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6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6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6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6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6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6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6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6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6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6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6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6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6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6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6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6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6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6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6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6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6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6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6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6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6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6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6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6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6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6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6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6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6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6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6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6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6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6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6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6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6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6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6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6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6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6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6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6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6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6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6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6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6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6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6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6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6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6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6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6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6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6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6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6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6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6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6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6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6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6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6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6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6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6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6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6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6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6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6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6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6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6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6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6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6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6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6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6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6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6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6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6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6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6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6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6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6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6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6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6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6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6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6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6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6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6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6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6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6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6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6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6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6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6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6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6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6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6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6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6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6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6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6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6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6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6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6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6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6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6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6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6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6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6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6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6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6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6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6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6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6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6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6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6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6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6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6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6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6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6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6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6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6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6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6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6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6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6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6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6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6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6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6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6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6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6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6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6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6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6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6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6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6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6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6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6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6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6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6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6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6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6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6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6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6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6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6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6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6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6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6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6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6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6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6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6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6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6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6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6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6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6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6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6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6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6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6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6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6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6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6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6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6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6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6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6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6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6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6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6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6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6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6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6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6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6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6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6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6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6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6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6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6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6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6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6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6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6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6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6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6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6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6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6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6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6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6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6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6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6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6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6"/>
      <c r="L999" s="1"/>
      <c r="M999" s="1"/>
    </row>
    <row r="1000" spans="1: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6"/>
      <c r="L1000" s="1"/>
      <c r="M1000" s="1"/>
    </row>
    <row r="1001" spans="1: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6"/>
      <c r="L1001" s="1"/>
      <c r="M1001" s="1"/>
    </row>
    <row r="1002" spans="1: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6"/>
      <c r="L1002" s="1"/>
      <c r="M1002" s="1"/>
    </row>
  </sheetData>
  <autoFilter ref="A2:AC67" xr:uid="{00000000-0009-0000-0000-000012000000}"/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L1000"/>
  <sheetViews>
    <sheetView showGridLines="0" workbookViewId="0"/>
  </sheetViews>
  <sheetFormatPr baseColWidth="10" defaultColWidth="14.3984375" defaultRowHeight="15.75" customHeight="1"/>
  <cols>
    <col min="1" max="4" width="12.796875" customWidth="1"/>
    <col min="5" max="5" width="24.796875" customWidth="1"/>
    <col min="6" max="6" width="12.796875" customWidth="1"/>
    <col min="7" max="7" width="21.3984375" customWidth="1"/>
    <col min="8" max="8" width="12.796875" customWidth="1"/>
    <col min="9" max="9" width="30.3984375" customWidth="1"/>
    <col min="10" max="10" width="14.796875" customWidth="1"/>
    <col min="11" max="11" width="12.796875" customWidth="1"/>
    <col min="12" max="12" width="63" customWidth="1"/>
    <col min="13" max="13" width="12.796875" customWidth="1"/>
    <col min="14" max="14" width="15.19921875" customWidth="1"/>
    <col min="15" max="23" width="14.19921875" customWidth="1"/>
    <col min="24" max="24" width="24.796875" customWidth="1"/>
    <col min="25" max="38" width="12.796875" customWidth="1"/>
  </cols>
  <sheetData>
    <row r="1" spans="1:38" ht="25.5" customHeight="1">
      <c r="A1" s="170" t="s">
        <v>454</v>
      </c>
      <c r="B1" s="171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72" t="s">
        <v>455</v>
      </c>
      <c r="O1" s="171"/>
      <c r="P1" s="7"/>
      <c r="Q1" s="7"/>
      <c r="R1" s="7"/>
      <c r="S1" s="7"/>
      <c r="T1" s="7"/>
      <c r="U1" s="7"/>
      <c r="V1" s="7"/>
      <c r="W1" s="7"/>
      <c r="X1" s="7"/>
      <c r="Y1" s="7"/>
      <c r="Z1" s="172" t="s">
        <v>456</v>
      </c>
      <c r="AA1" s="171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.5" customHeight="1">
      <c r="A2" s="29" t="s">
        <v>457</v>
      </c>
      <c r="B2" s="30" t="s">
        <v>458</v>
      </c>
      <c r="C2" s="31" t="s">
        <v>459</v>
      </c>
      <c r="D2" s="30" t="s">
        <v>460</v>
      </c>
      <c r="E2" s="29" t="s">
        <v>15</v>
      </c>
      <c r="F2" s="29" t="s">
        <v>461</v>
      </c>
      <c r="G2" s="32" t="s">
        <v>253</v>
      </c>
      <c r="H2" s="29" t="s">
        <v>462</v>
      </c>
      <c r="I2" s="29" t="s">
        <v>463</v>
      </c>
      <c r="J2" s="30" t="s">
        <v>464</v>
      </c>
      <c r="K2" s="29" t="s">
        <v>252</v>
      </c>
      <c r="L2" s="29" t="s">
        <v>12</v>
      </c>
      <c r="M2" s="7"/>
      <c r="N2" s="33" t="s">
        <v>465</v>
      </c>
      <c r="O2" s="34" t="s">
        <v>466</v>
      </c>
      <c r="P2" s="35" t="s">
        <v>467</v>
      </c>
      <c r="Q2" s="35" t="s">
        <v>468</v>
      </c>
      <c r="R2" s="35" t="s">
        <v>469</v>
      </c>
      <c r="S2" s="35" t="s">
        <v>470</v>
      </c>
      <c r="T2" s="35" t="s">
        <v>471</v>
      </c>
      <c r="U2" s="35" t="s">
        <v>472</v>
      </c>
      <c r="V2" s="35" t="s">
        <v>473</v>
      </c>
      <c r="W2" s="35" t="s">
        <v>474</v>
      </c>
      <c r="X2" s="35" t="s">
        <v>2</v>
      </c>
      <c r="Y2" s="7"/>
      <c r="Z2" s="36" t="s">
        <v>21</v>
      </c>
      <c r="AA2" s="36" t="s">
        <v>465</v>
      </c>
      <c r="AB2" s="36" t="s">
        <v>466</v>
      </c>
      <c r="AC2" s="36" t="s">
        <v>467</v>
      </c>
      <c r="AD2" s="36" t="s">
        <v>468</v>
      </c>
      <c r="AE2" s="36" t="s">
        <v>469</v>
      </c>
      <c r="AF2" s="36" t="s">
        <v>470</v>
      </c>
      <c r="AG2" s="36" t="s">
        <v>471</v>
      </c>
      <c r="AH2" s="36" t="s">
        <v>472</v>
      </c>
      <c r="AI2" s="36" t="s">
        <v>473</v>
      </c>
      <c r="AJ2" s="36" t="s">
        <v>474</v>
      </c>
      <c r="AK2" s="36" t="s">
        <v>475</v>
      </c>
      <c r="AL2" s="36" t="s">
        <v>476</v>
      </c>
    </row>
    <row r="3" spans="1:38" ht="18.75" customHeight="1">
      <c r="A3" s="37" t="s">
        <v>36</v>
      </c>
      <c r="B3" s="38"/>
      <c r="C3" s="39"/>
      <c r="D3" s="40">
        <v>45221.973368055558</v>
      </c>
      <c r="E3" s="37" t="s">
        <v>477</v>
      </c>
      <c r="F3" s="37" t="s">
        <v>478</v>
      </c>
      <c r="G3" s="41" t="s">
        <v>479</v>
      </c>
      <c r="H3" s="42">
        <v>0.58333333333333337</v>
      </c>
      <c r="I3" s="37" t="s">
        <v>480</v>
      </c>
      <c r="J3" s="43"/>
      <c r="K3" s="37" t="s">
        <v>481</v>
      </c>
      <c r="L3" s="44" t="s">
        <v>482</v>
      </c>
      <c r="M3" s="45"/>
      <c r="N3" s="46">
        <v>45217</v>
      </c>
      <c r="O3" s="47">
        <f t="shared" ref="O3:O33" si="0">COUNTIFS(D:D,"&gt;"&amp;N3, D:D,"&lt;"&amp;N4)</f>
        <v>0</v>
      </c>
      <c r="P3" s="48">
        <v>1139</v>
      </c>
      <c r="Q3" s="48">
        <v>1247</v>
      </c>
      <c r="R3" s="49">
        <v>1.0900000000000001</v>
      </c>
      <c r="S3" s="48">
        <v>9</v>
      </c>
      <c r="T3" s="50">
        <v>5.3E-3</v>
      </c>
      <c r="U3" s="51">
        <v>1810</v>
      </c>
      <c r="V3" s="51">
        <v>13066</v>
      </c>
      <c r="W3" s="52">
        <v>16293</v>
      </c>
      <c r="X3" s="53"/>
      <c r="Y3" s="45"/>
      <c r="Z3" s="54" t="s">
        <v>483</v>
      </c>
      <c r="AA3" s="54" t="s">
        <v>484</v>
      </c>
      <c r="AB3" s="54">
        <f t="shared" ref="AB3:AD3" si="1">SUM(O3:O5)</f>
        <v>0</v>
      </c>
      <c r="AC3" s="55">
        <f t="shared" si="1"/>
        <v>6421</v>
      </c>
      <c r="AD3" s="55">
        <f t="shared" si="1"/>
        <v>7341</v>
      </c>
      <c r="AE3" s="56">
        <f>AVERAGE(R3:R5)</f>
        <v>1.1333333333333333</v>
      </c>
      <c r="AF3" s="55">
        <f>SUM(S3:S5)</f>
        <v>32</v>
      </c>
      <c r="AG3" s="57">
        <f t="shared" ref="AG3:AI3" si="2">AVERAGE(T3:T5)</f>
        <v>4.2333333333333329E-3</v>
      </c>
      <c r="AH3" s="58">
        <f t="shared" si="2"/>
        <v>2535</v>
      </c>
      <c r="AI3" s="58">
        <f t="shared" si="2"/>
        <v>11519.666666666666</v>
      </c>
      <c r="AJ3" s="59">
        <f>SUM(W3:W5)</f>
        <v>82233</v>
      </c>
      <c r="AK3" s="167">
        <f>SUM(AB3:AB5)</f>
        <v>4</v>
      </c>
      <c r="AL3" s="173">
        <f>SUM(AJ3:AJ5)</f>
        <v>454605</v>
      </c>
    </row>
    <row r="4" spans="1:38" ht="18.75" customHeight="1">
      <c r="A4" s="37" t="s">
        <v>17</v>
      </c>
      <c r="B4" s="38"/>
      <c r="C4" s="39"/>
      <c r="D4" s="40">
        <v>45228.953414351854</v>
      </c>
      <c r="E4" s="37" t="s">
        <v>485</v>
      </c>
      <c r="F4" s="37" t="s">
        <v>486</v>
      </c>
      <c r="G4" s="41">
        <v>1058042790</v>
      </c>
      <c r="H4" s="37" t="s">
        <v>487</v>
      </c>
      <c r="I4" s="37" t="s">
        <v>488</v>
      </c>
      <c r="J4" s="43"/>
      <c r="K4" s="37" t="s">
        <v>481</v>
      </c>
      <c r="L4" s="44" t="s">
        <v>489</v>
      </c>
      <c r="M4" s="45"/>
      <c r="N4" s="46">
        <v>45218</v>
      </c>
      <c r="O4" s="47">
        <f t="shared" si="0"/>
        <v>0</v>
      </c>
      <c r="P4" s="48">
        <v>2388</v>
      </c>
      <c r="Q4" s="48">
        <v>2716</v>
      </c>
      <c r="R4" s="49">
        <v>1.1399999999999999</v>
      </c>
      <c r="S4" s="48">
        <v>9</v>
      </c>
      <c r="T4" s="50">
        <v>3.3E-3</v>
      </c>
      <c r="U4" s="51">
        <v>3038</v>
      </c>
      <c r="V4" s="51">
        <v>10068</v>
      </c>
      <c r="W4" s="52">
        <v>27346</v>
      </c>
      <c r="X4" s="53"/>
      <c r="Y4" s="45"/>
      <c r="Z4" s="54" t="s">
        <v>490</v>
      </c>
      <c r="AA4" s="54" t="s">
        <v>491</v>
      </c>
      <c r="AB4" s="54">
        <f t="shared" ref="AB4:AD4" si="3">SUM(O6:O12)</f>
        <v>1</v>
      </c>
      <c r="AC4" s="55">
        <f t="shared" si="3"/>
        <v>11021</v>
      </c>
      <c r="AD4" s="55">
        <f t="shared" si="3"/>
        <v>13155</v>
      </c>
      <c r="AE4" s="56">
        <f>AVERAGE(R6:R12)</f>
        <v>1.1985714285714286</v>
      </c>
      <c r="AF4" s="55">
        <f>SUM(S6:S12)</f>
        <v>94</v>
      </c>
      <c r="AG4" s="57">
        <f t="shared" ref="AG4:AI4" si="4">AVERAGE(T6:T12)</f>
        <v>8.8000000000000005E-3</v>
      </c>
      <c r="AH4" s="58">
        <f t="shared" si="4"/>
        <v>1959.5714285714287</v>
      </c>
      <c r="AI4" s="58">
        <f t="shared" si="4"/>
        <v>14136.857142857143</v>
      </c>
      <c r="AJ4" s="59">
        <f>SUM(W6:W12)</f>
        <v>182609</v>
      </c>
      <c r="AK4" s="168"/>
      <c r="AL4" s="168"/>
    </row>
    <row r="5" spans="1:38" ht="18.75" customHeight="1">
      <c r="A5" s="37" t="s">
        <v>17</v>
      </c>
      <c r="B5" s="38"/>
      <c r="C5" s="39"/>
      <c r="D5" s="40">
        <v>45232.435740740744</v>
      </c>
      <c r="E5" s="37" t="s">
        <v>492</v>
      </c>
      <c r="F5" s="37" t="s">
        <v>493</v>
      </c>
      <c r="G5" s="41">
        <v>1095828597</v>
      </c>
      <c r="H5" s="42">
        <v>0.625</v>
      </c>
      <c r="I5" s="37" t="s">
        <v>494</v>
      </c>
      <c r="J5" s="43"/>
      <c r="K5" s="37" t="s">
        <v>481</v>
      </c>
      <c r="L5" s="44" t="s">
        <v>495</v>
      </c>
      <c r="M5" s="45"/>
      <c r="N5" s="46">
        <v>45219</v>
      </c>
      <c r="O5" s="47">
        <f t="shared" si="0"/>
        <v>0</v>
      </c>
      <c r="P5" s="48">
        <v>2894</v>
      </c>
      <c r="Q5" s="48">
        <v>3378</v>
      </c>
      <c r="R5" s="49">
        <v>1.17</v>
      </c>
      <c r="S5" s="48">
        <v>14</v>
      </c>
      <c r="T5" s="50">
        <v>4.1000000000000003E-3</v>
      </c>
      <c r="U5" s="51">
        <v>2757</v>
      </c>
      <c r="V5" s="51">
        <v>11425</v>
      </c>
      <c r="W5" s="52">
        <v>38594</v>
      </c>
      <c r="X5" s="53"/>
      <c r="Y5" s="60" t="s">
        <v>496</v>
      </c>
      <c r="Z5" s="54" t="s">
        <v>497</v>
      </c>
      <c r="AA5" s="54" t="s">
        <v>498</v>
      </c>
      <c r="AB5" s="54">
        <f t="shared" ref="AB5:AD5" si="5">SUM(O13:O19)</f>
        <v>3</v>
      </c>
      <c r="AC5" s="55">
        <f t="shared" si="5"/>
        <v>5285</v>
      </c>
      <c r="AD5" s="55">
        <f t="shared" si="5"/>
        <v>6476</v>
      </c>
      <c r="AE5" s="56">
        <f>AVERAGE(R13:R19)</f>
        <v>1.2557142857142856</v>
      </c>
      <c r="AF5" s="55">
        <f>SUM(S13:S19)</f>
        <v>80</v>
      </c>
      <c r="AG5" s="57">
        <f t="shared" ref="AG5:AI5" si="6">AVERAGE(T13:T19)</f>
        <v>1.2357142857142856E-2</v>
      </c>
      <c r="AH5" s="58">
        <f t="shared" si="6"/>
        <v>2781</v>
      </c>
      <c r="AI5" s="58">
        <f t="shared" si="6"/>
        <v>35761.285714285717</v>
      </c>
      <c r="AJ5" s="58">
        <f>SUM(W13:W19)</f>
        <v>189763</v>
      </c>
      <c r="AK5" s="169"/>
      <c r="AL5" s="169"/>
    </row>
    <row r="6" spans="1:38" ht="18.75" customHeight="1">
      <c r="A6" s="37" t="s">
        <v>17</v>
      </c>
      <c r="B6" s="38"/>
      <c r="C6" s="39"/>
      <c r="D6" s="40">
        <v>45232.836435185185</v>
      </c>
      <c r="E6" s="37" t="s">
        <v>499</v>
      </c>
      <c r="F6" s="37" t="s">
        <v>500</v>
      </c>
      <c r="G6" s="41">
        <v>1051177976</v>
      </c>
      <c r="H6" s="42">
        <v>0.66666666666666663</v>
      </c>
      <c r="I6" s="37" t="s">
        <v>501</v>
      </c>
      <c r="J6" s="43"/>
      <c r="K6" s="37" t="s">
        <v>481</v>
      </c>
      <c r="L6" s="44" t="s">
        <v>502</v>
      </c>
      <c r="M6" s="45"/>
      <c r="N6" s="46">
        <v>45220</v>
      </c>
      <c r="O6" s="47">
        <f t="shared" si="0"/>
        <v>0</v>
      </c>
      <c r="P6" s="48">
        <v>1979</v>
      </c>
      <c r="Q6" s="48">
        <v>2200</v>
      </c>
      <c r="R6" s="49">
        <v>1.1100000000000001</v>
      </c>
      <c r="S6" s="48">
        <v>15</v>
      </c>
      <c r="T6" s="50">
        <v>6.7999999999999996E-3</v>
      </c>
      <c r="U6" s="51">
        <v>2558</v>
      </c>
      <c r="V6" s="51">
        <v>17444</v>
      </c>
      <c r="W6" s="52">
        <v>38376</v>
      </c>
      <c r="X6" s="53"/>
      <c r="Y6" s="45"/>
      <c r="Z6" s="54" t="s">
        <v>503</v>
      </c>
      <c r="AA6" s="54" t="s">
        <v>504</v>
      </c>
      <c r="AB6" s="54">
        <f t="shared" ref="AB6:AD6" si="7">SUM(O20:O26)</f>
        <v>1</v>
      </c>
      <c r="AC6" s="55">
        <f t="shared" si="7"/>
        <v>2598</v>
      </c>
      <c r="AD6" s="55">
        <f t="shared" si="7"/>
        <v>5003</v>
      </c>
      <c r="AE6" s="56">
        <f>AVERAGE(R20:R26)</f>
        <v>2.0114285714285711</v>
      </c>
      <c r="AF6" s="55">
        <f>SUM(S20:S26)</f>
        <v>86</v>
      </c>
      <c r="AG6" s="57">
        <f t="shared" ref="AG6:AI6" si="8">AVERAGE(T20:T26)</f>
        <v>1.7328571428571429E-2</v>
      </c>
      <c r="AH6" s="58">
        <f t="shared" si="8"/>
        <v>2652.7142857142858</v>
      </c>
      <c r="AI6" s="58">
        <f t="shared" si="8"/>
        <v>35230.571428571428</v>
      </c>
      <c r="AJ6" s="59">
        <f>SUM(W20:W26)</f>
        <v>176528</v>
      </c>
      <c r="AK6" s="174">
        <f>SUM(AB6:AB9)</f>
        <v>1</v>
      </c>
      <c r="AL6" s="175">
        <f>SUM(AJ6:AJ9)</f>
        <v>365517</v>
      </c>
    </row>
    <row r="7" spans="1:38" ht="18.75" customHeight="1">
      <c r="A7" s="37" t="s">
        <v>36</v>
      </c>
      <c r="B7" s="38"/>
      <c r="C7" s="39"/>
      <c r="D7" s="40">
        <v>45236.696388888886</v>
      </c>
      <c r="E7" s="37" t="s">
        <v>505</v>
      </c>
      <c r="F7" s="37" t="s">
        <v>506</v>
      </c>
      <c r="G7" s="41">
        <v>1058823362</v>
      </c>
      <c r="H7" s="42">
        <v>0.66666666666666663</v>
      </c>
      <c r="I7" s="37" t="s">
        <v>507</v>
      </c>
      <c r="J7" s="43"/>
      <c r="K7" s="37" t="s">
        <v>481</v>
      </c>
      <c r="L7" s="44" t="s">
        <v>508</v>
      </c>
      <c r="M7" s="45"/>
      <c r="N7" s="46">
        <v>45221</v>
      </c>
      <c r="O7" s="47">
        <f t="shared" si="0"/>
        <v>1</v>
      </c>
      <c r="P7" s="48">
        <v>2719</v>
      </c>
      <c r="Q7" s="48">
        <v>3323</v>
      </c>
      <c r="R7" s="49">
        <v>1.22</v>
      </c>
      <c r="S7" s="48">
        <v>17</v>
      </c>
      <c r="T7" s="50">
        <v>5.1000000000000004E-3</v>
      </c>
      <c r="U7" s="51">
        <v>2500</v>
      </c>
      <c r="V7" s="51">
        <v>12790</v>
      </c>
      <c r="W7" s="52">
        <v>42502</v>
      </c>
      <c r="X7" s="53"/>
      <c r="Y7" s="45"/>
      <c r="Z7" s="54" t="s">
        <v>509</v>
      </c>
      <c r="AA7" s="54" t="s">
        <v>510</v>
      </c>
      <c r="AB7" s="54">
        <f t="shared" ref="AB7:AD7" si="9">SUM(O27:O33)</f>
        <v>0</v>
      </c>
      <c r="AC7" s="55">
        <f t="shared" si="9"/>
        <v>2447</v>
      </c>
      <c r="AD7" s="55">
        <f t="shared" si="9"/>
        <v>5513</v>
      </c>
      <c r="AE7" s="56">
        <f>AVERAGE(R27:R33)</f>
        <v>2.1</v>
      </c>
      <c r="AF7" s="55">
        <f>SUM(S27:S33)</f>
        <v>39</v>
      </c>
      <c r="AG7" s="57">
        <f t="shared" ref="AG7:AI7" si="10">AVERAGE(T27:T33)</f>
        <v>1.0833333333333334E-2</v>
      </c>
      <c r="AH7" s="58">
        <f t="shared" si="10"/>
        <v>3980.5</v>
      </c>
      <c r="AI7" s="58">
        <f t="shared" si="10"/>
        <v>37557.142857142855</v>
      </c>
      <c r="AJ7" s="59">
        <f>SUM(W27:W33)</f>
        <v>188989</v>
      </c>
      <c r="AK7" s="168"/>
      <c r="AL7" s="168"/>
    </row>
    <row r="8" spans="1:38" ht="18.75" customHeight="1">
      <c r="A8" s="37"/>
      <c r="B8" s="38"/>
      <c r="C8" s="39"/>
      <c r="D8" s="39"/>
      <c r="E8" s="37"/>
      <c r="F8" s="37"/>
      <c r="G8" s="41"/>
      <c r="H8" s="42"/>
      <c r="I8" s="37"/>
      <c r="J8" s="43"/>
      <c r="K8" s="37"/>
      <c r="L8" s="44"/>
      <c r="M8" s="45"/>
      <c r="N8" s="46">
        <v>45222</v>
      </c>
      <c r="O8" s="47">
        <f t="shared" si="0"/>
        <v>0</v>
      </c>
      <c r="P8" s="48">
        <v>2008</v>
      </c>
      <c r="Q8" s="48">
        <v>2304</v>
      </c>
      <c r="R8" s="49">
        <v>1.1499999999999999</v>
      </c>
      <c r="S8" s="48">
        <v>9</v>
      </c>
      <c r="T8" s="50">
        <v>3.8999999999999998E-3</v>
      </c>
      <c r="U8" s="51">
        <v>3581</v>
      </c>
      <c r="V8" s="51">
        <v>13989</v>
      </c>
      <c r="W8" s="52">
        <v>32230</v>
      </c>
      <c r="X8" s="53"/>
      <c r="Y8" s="45"/>
      <c r="Z8" s="54" t="s">
        <v>511</v>
      </c>
      <c r="AA8" s="54" t="s">
        <v>512</v>
      </c>
      <c r="AB8" s="54"/>
      <c r="AC8" s="54"/>
      <c r="AD8" s="54"/>
      <c r="AE8" s="54"/>
      <c r="AF8" s="54"/>
      <c r="AG8" s="54"/>
      <c r="AH8" s="58"/>
      <c r="AI8" s="58"/>
      <c r="AJ8" s="58"/>
      <c r="AK8" s="168"/>
      <c r="AL8" s="168"/>
    </row>
    <row r="9" spans="1:38" ht="18.75" customHeight="1">
      <c r="A9" s="37"/>
      <c r="B9" s="38"/>
      <c r="C9" s="39"/>
      <c r="D9" s="39"/>
      <c r="E9" s="37"/>
      <c r="F9" s="37"/>
      <c r="G9" s="41"/>
      <c r="H9" s="42"/>
      <c r="I9" s="37"/>
      <c r="J9" s="43"/>
      <c r="K9" s="37"/>
      <c r="L9" s="44"/>
      <c r="M9" s="45"/>
      <c r="N9" s="46">
        <v>45223</v>
      </c>
      <c r="O9" s="47">
        <f t="shared" si="0"/>
        <v>0</v>
      </c>
      <c r="P9" s="48">
        <v>411</v>
      </c>
      <c r="Q9" s="48">
        <v>460</v>
      </c>
      <c r="R9" s="49">
        <v>1.1200000000000001</v>
      </c>
      <c r="S9" s="48">
        <v>5</v>
      </c>
      <c r="T9" s="50">
        <v>1.09E-2</v>
      </c>
      <c r="U9" s="51">
        <v>1321</v>
      </c>
      <c r="V9" s="51">
        <v>14357</v>
      </c>
      <c r="W9" s="52">
        <v>6604</v>
      </c>
      <c r="X9" s="53"/>
      <c r="Y9" s="45"/>
      <c r="Z9" s="54" t="s">
        <v>513</v>
      </c>
      <c r="AA9" s="54" t="s">
        <v>514</v>
      </c>
      <c r="AB9" s="54"/>
      <c r="AC9" s="54"/>
      <c r="AD9" s="54"/>
      <c r="AE9" s="54"/>
      <c r="AF9" s="54"/>
      <c r="AG9" s="54"/>
      <c r="AH9" s="58"/>
      <c r="AI9" s="58"/>
      <c r="AJ9" s="58"/>
      <c r="AK9" s="169"/>
      <c r="AL9" s="169"/>
    </row>
    <row r="10" spans="1:38" ht="18.75" customHeight="1">
      <c r="A10" s="37"/>
      <c r="B10" s="38"/>
      <c r="C10" s="39"/>
      <c r="D10" s="39"/>
      <c r="E10" s="37"/>
      <c r="F10" s="37"/>
      <c r="G10" s="41"/>
      <c r="H10" s="42"/>
      <c r="I10" s="37"/>
      <c r="J10" s="43"/>
      <c r="K10" s="37"/>
      <c r="L10" s="44"/>
      <c r="M10" s="45"/>
      <c r="N10" s="46">
        <v>45224</v>
      </c>
      <c r="O10" s="47">
        <f t="shared" si="0"/>
        <v>0</v>
      </c>
      <c r="P10" s="48">
        <v>580</v>
      </c>
      <c r="Q10" s="48">
        <v>711</v>
      </c>
      <c r="R10" s="49">
        <v>1.23</v>
      </c>
      <c r="S10" s="48">
        <v>12</v>
      </c>
      <c r="T10" s="50">
        <v>1.6899999999999998E-2</v>
      </c>
      <c r="U10" s="51">
        <v>805</v>
      </c>
      <c r="V10" s="51">
        <v>13586</v>
      </c>
      <c r="W10" s="52">
        <v>9660</v>
      </c>
      <c r="X10" s="53"/>
      <c r="Y10" s="45"/>
      <c r="Z10" s="54" t="s">
        <v>515</v>
      </c>
      <c r="AA10" s="54" t="s">
        <v>516</v>
      </c>
      <c r="AB10" s="54"/>
      <c r="AC10" s="54"/>
      <c r="AD10" s="54"/>
      <c r="AE10" s="54"/>
      <c r="AF10" s="54"/>
      <c r="AG10" s="54"/>
      <c r="AH10" s="58"/>
      <c r="AI10" s="58"/>
      <c r="AJ10" s="58"/>
      <c r="AK10" s="167"/>
      <c r="AL10" s="167"/>
    </row>
    <row r="11" spans="1:38" ht="18.75" customHeight="1">
      <c r="A11" s="37"/>
      <c r="B11" s="38"/>
      <c r="C11" s="39"/>
      <c r="D11" s="39"/>
      <c r="E11" s="37"/>
      <c r="F11" s="37"/>
      <c r="G11" s="41"/>
      <c r="H11" s="42"/>
      <c r="I11" s="37"/>
      <c r="J11" s="43"/>
      <c r="K11" s="37"/>
      <c r="L11" s="44"/>
      <c r="M11" s="45"/>
      <c r="N11" s="46">
        <v>45225</v>
      </c>
      <c r="O11" s="47">
        <f t="shared" si="0"/>
        <v>0</v>
      </c>
      <c r="P11" s="48">
        <v>1917</v>
      </c>
      <c r="Q11" s="48">
        <v>2407</v>
      </c>
      <c r="R11" s="49">
        <v>1.32</v>
      </c>
      <c r="S11" s="48">
        <v>16</v>
      </c>
      <c r="T11" s="50">
        <v>6.6E-3</v>
      </c>
      <c r="U11" s="51">
        <v>1454</v>
      </c>
      <c r="V11" s="51">
        <v>9667</v>
      </c>
      <c r="W11" s="52">
        <v>23269</v>
      </c>
      <c r="X11" s="61" t="s">
        <v>517</v>
      </c>
      <c r="Y11" s="45"/>
      <c r="Z11" s="54" t="s">
        <v>518</v>
      </c>
      <c r="AA11" s="54" t="s">
        <v>519</v>
      </c>
      <c r="AB11" s="54"/>
      <c r="AC11" s="54"/>
      <c r="AD11" s="54"/>
      <c r="AE11" s="54"/>
      <c r="AF11" s="54"/>
      <c r="AG11" s="54"/>
      <c r="AH11" s="58"/>
      <c r="AI11" s="58"/>
      <c r="AJ11" s="58"/>
      <c r="AK11" s="168"/>
      <c r="AL11" s="168"/>
    </row>
    <row r="12" spans="1:38" ht="18.75" customHeight="1">
      <c r="A12" s="37"/>
      <c r="B12" s="38"/>
      <c r="C12" s="39"/>
      <c r="D12" s="39"/>
      <c r="E12" s="37"/>
      <c r="F12" s="37"/>
      <c r="G12" s="41"/>
      <c r="H12" s="42"/>
      <c r="I12" s="37"/>
      <c r="J12" s="43"/>
      <c r="K12" s="37"/>
      <c r="L12" s="44"/>
      <c r="M12" s="45"/>
      <c r="N12" s="46">
        <v>45226</v>
      </c>
      <c r="O12" s="47">
        <f t="shared" si="0"/>
        <v>0</v>
      </c>
      <c r="P12" s="48">
        <v>1407</v>
      </c>
      <c r="Q12" s="48">
        <v>1750</v>
      </c>
      <c r="R12" s="49">
        <v>1.24</v>
      </c>
      <c r="S12" s="48">
        <v>20</v>
      </c>
      <c r="T12" s="50">
        <v>1.14E-2</v>
      </c>
      <c r="U12" s="51">
        <v>1498</v>
      </c>
      <c r="V12" s="51">
        <v>17125</v>
      </c>
      <c r="W12" s="52">
        <v>29968</v>
      </c>
      <c r="X12" s="53"/>
      <c r="Y12" s="45"/>
      <c r="Z12" s="54" t="s">
        <v>520</v>
      </c>
      <c r="AA12" s="54" t="s">
        <v>521</v>
      </c>
      <c r="AB12" s="54"/>
      <c r="AC12" s="54"/>
      <c r="AD12" s="54"/>
      <c r="AE12" s="54"/>
      <c r="AF12" s="54"/>
      <c r="AG12" s="54"/>
      <c r="AH12" s="58"/>
      <c r="AI12" s="58"/>
      <c r="AJ12" s="58"/>
      <c r="AK12" s="168"/>
      <c r="AL12" s="168"/>
    </row>
    <row r="13" spans="1:38" ht="18.75" customHeight="1">
      <c r="A13" s="37"/>
      <c r="B13" s="38"/>
      <c r="C13" s="39"/>
      <c r="D13" s="39"/>
      <c r="E13" s="37"/>
      <c r="F13" s="37"/>
      <c r="G13" s="41"/>
      <c r="H13" s="42"/>
      <c r="I13" s="37"/>
      <c r="J13" s="43"/>
      <c r="K13" s="37"/>
      <c r="L13" s="44"/>
      <c r="M13" s="45"/>
      <c r="N13" s="46">
        <v>45227</v>
      </c>
      <c r="O13" s="47">
        <f t="shared" si="0"/>
        <v>0</v>
      </c>
      <c r="P13" s="48">
        <v>1822</v>
      </c>
      <c r="Q13" s="48">
        <v>2225</v>
      </c>
      <c r="R13" s="49">
        <v>1.22</v>
      </c>
      <c r="S13" s="48">
        <v>16</v>
      </c>
      <c r="T13" s="50">
        <v>7.1999999999999998E-3</v>
      </c>
      <c r="U13" s="51">
        <v>2418</v>
      </c>
      <c r="V13" s="51">
        <v>17390</v>
      </c>
      <c r="W13" s="51">
        <v>38693</v>
      </c>
      <c r="X13" s="51"/>
      <c r="Y13" s="45"/>
      <c r="Z13" s="54" t="s">
        <v>522</v>
      </c>
      <c r="AA13" s="54" t="s">
        <v>523</v>
      </c>
      <c r="AB13" s="54"/>
      <c r="AC13" s="54"/>
      <c r="AD13" s="54"/>
      <c r="AE13" s="54"/>
      <c r="AF13" s="54"/>
      <c r="AG13" s="54"/>
      <c r="AH13" s="58"/>
      <c r="AI13" s="58"/>
      <c r="AJ13" s="58"/>
      <c r="AK13" s="169"/>
      <c r="AL13" s="169"/>
    </row>
    <row r="14" spans="1:38" ht="18.75" customHeight="1">
      <c r="A14" s="37"/>
      <c r="B14" s="38"/>
      <c r="C14" s="39"/>
      <c r="D14" s="39"/>
      <c r="E14" s="37"/>
      <c r="F14" s="37"/>
      <c r="G14" s="41"/>
      <c r="H14" s="42"/>
      <c r="I14" s="37"/>
      <c r="J14" s="43"/>
      <c r="K14" s="37"/>
      <c r="L14" s="44"/>
      <c r="M14" s="45"/>
      <c r="N14" s="46">
        <v>45228</v>
      </c>
      <c r="O14" s="47">
        <f t="shared" si="0"/>
        <v>1</v>
      </c>
      <c r="P14" s="48">
        <v>1422</v>
      </c>
      <c r="Q14" s="48">
        <v>1658</v>
      </c>
      <c r="R14" s="49">
        <v>1.17</v>
      </c>
      <c r="S14" s="48">
        <v>23</v>
      </c>
      <c r="T14" s="50">
        <v>1.3899999999999999E-2</v>
      </c>
      <c r="U14" s="51">
        <v>2354</v>
      </c>
      <c r="V14" s="51">
        <v>32650</v>
      </c>
      <c r="W14" s="52">
        <v>54134</v>
      </c>
      <c r="X14" s="52"/>
      <c r="Y14" s="45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ht="18.75" customHeight="1">
      <c r="A15" s="37"/>
      <c r="B15" s="38"/>
      <c r="C15" s="39"/>
      <c r="D15" s="39"/>
      <c r="E15" s="37"/>
      <c r="F15" s="37"/>
      <c r="G15" s="41"/>
      <c r="H15" s="42"/>
      <c r="I15" s="37"/>
      <c r="J15" s="43"/>
      <c r="K15" s="37"/>
      <c r="L15" s="44"/>
      <c r="M15" s="45"/>
      <c r="N15" s="46">
        <v>45229</v>
      </c>
      <c r="O15" s="47">
        <f t="shared" si="0"/>
        <v>0</v>
      </c>
      <c r="P15" s="48">
        <v>669</v>
      </c>
      <c r="Q15" s="48">
        <v>840</v>
      </c>
      <c r="R15" s="49">
        <v>1.26</v>
      </c>
      <c r="S15" s="48">
        <v>6</v>
      </c>
      <c r="T15" s="50">
        <v>7.1000000000000004E-3</v>
      </c>
      <c r="U15" s="51">
        <v>5411</v>
      </c>
      <c r="V15" s="51">
        <v>38650</v>
      </c>
      <c r="W15" s="52">
        <v>32466</v>
      </c>
      <c r="X15" s="53"/>
      <c r="Y15" s="45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18.75" customHeight="1">
      <c r="A16" s="45"/>
      <c r="B16" s="45"/>
      <c r="C16" s="45"/>
      <c r="D16" s="63"/>
      <c r="E16" s="45"/>
      <c r="F16" s="45"/>
      <c r="G16" s="45"/>
      <c r="H16" s="45"/>
      <c r="I16" s="45"/>
      <c r="J16" s="45"/>
      <c r="K16" s="45"/>
      <c r="L16" s="45"/>
      <c r="M16" s="45"/>
      <c r="N16" s="46">
        <v>45230</v>
      </c>
      <c r="O16" s="47">
        <f t="shared" si="0"/>
        <v>0</v>
      </c>
      <c r="P16" s="48">
        <v>374</v>
      </c>
      <c r="Q16" s="48">
        <v>465</v>
      </c>
      <c r="R16" s="49">
        <v>1.24</v>
      </c>
      <c r="S16" s="48">
        <v>0</v>
      </c>
      <c r="T16" s="50">
        <v>0</v>
      </c>
      <c r="U16" s="51">
        <v>0</v>
      </c>
      <c r="V16" s="51">
        <v>42346</v>
      </c>
      <c r="W16" s="52">
        <v>19691</v>
      </c>
      <c r="X16" s="53"/>
      <c r="Y16" s="45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ht="18.75" customHeight="1">
      <c r="A17" s="45"/>
      <c r="B17" s="45"/>
      <c r="C17" s="45"/>
      <c r="D17" s="63"/>
      <c r="E17" s="45"/>
      <c r="F17" s="45"/>
      <c r="G17" s="45"/>
      <c r="H17" s="45"/>
      <c r="I17" s="45"/>
      <c r="J17" s="45"/>
      <c r="K17" s="45"/>
      <c r="L17" s="45"/>
      <c r="M17" s="45"/>
      <c r="N17" s="46">
        <v>45231</v>
      </c>
      <c r="O17" s="47">
        <f t="shared" si="0"/>
        <v>0</v>
      </c>
      <c r="P17" s="48">
        <v>189</v>
      </c>
      <c r="Q17" s="48">
        <v>232</v>
      </c>
      <c r="R17" s="49">
        <v>1.23</v>
      </c>
      <c r="S17" s="48">
        <v>2</v>
      </c>
      <c r="T17" s="50">
        <v>8.6E-3</v>
      </c>
      <c r="U17" s="51">
        <v>5270</v>
      </c>
      <c r="V17" s="51">
        <v>45431</v>
      </c>
      <c r="W17" s="52">
        <v>10540</v>
      </c>
      <c r="X17" s="53"/>
      <c r="Y17" s="45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ht="18.75" customHeight="1">
      <c r="A18" s="45"/>
      <c r="B18" s="45"/>
      <c r="C18" s="45"/>
      <c r="D18" s="63"/>
      <c r="E18" s="45"/>
      <c r="F18" s="45"/>
      <c r="G18" s="45"/>
      <c r="H18" s="45"/>
      <c r="I18" s="45"/>
      <c r="J18" s="45"/>
      <c r="K18" s="45"/>
      <c r="L18" s="45"/>
      <c r="M18" s="45"/>
      <c r="N18" s="46">
        <v>45232</v>
      </c>
      <c r="O18" s="47">
        <f t="shared" si="0"/>
        <v>2</v>
      </c>
      <c r="P18" s="48">
        <v>156</v>
      </c>
      <c r="Q18" s="48">
        <v>215</v>
      </c>
      <c r="R18" s="49">
        <v>1.38</v>
      </c>
      <c r="S18" s="48">
        <v>3</v>
      </c>
      <c r="T18" s="50">
        <v>1.4E-2</v>
      </c>
      <c r="U18" s="51">
        <v>3192</v>
      </c>
      <c r="V18" s="51">
        <v>44535</v>
      </c>
      <c r="W18" s="52">
        <v>9575</v>
      </c>
      <c r="X18" s="53"/>
      <c r="Y18" s="45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ht="18.75" customHeight="1">
      <c r="A19" s="45"/>
      <c r="B19" s="45"/>
      <c r="C19" s="45"/>
      <c r="D19" s="63"/>
      <c r="E19" s="45"/>
      <c r="F19" s="45"/>
      <c r="G19" s="45"/>
      <c r="H19" s="45"/>
      <c r="I19" s="45"/>
      <c r="J19" s="45"/>
      <c r="K19" s="45"/>
      <c r="L19" s="45"/>
      <c r="M19" s="45"/>
      <c r="N19" s="46">
        <v>45233</v>
      </c>
      <c r="O19" s="47">
        <f t="shared" si="0"/>
        <v>0</v>
      </c>
      <c r="P19" s="48">
        <v>653</v>
      </c>
      <c r="Q19" s="48">
        <v>841</v>
      </c>
      <c r="R19" s="49">
        <v>1.29</v>
      </c>
      <c r="S19" s="48">
        <v>30</v>
      </c>
      <c r="T19" s="50">
        <v>3.5700000000000003E-2</v>
      </c>
      <c r="U19" s="51">
        <v>822</v>
      </c>
      <c r="V19" s="51">
        <v>29327</v>
      </c>
      <c r="W19" s="52">
        <v>24664</v>
      </c>
      <c r="X19" s="53"/>
      <c r="Y19" s="45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ht="18.75" customHeight="1">
      <c r="A20" s="45"/>
      <c r="B20" s="45"/>
      <c r="C20" s="45"/>
      <c r="D20" s="63"/>
      <c r="E20" s="45"/>
      <c r="F20" s="45"/>
      <c r="G20" s="45"/>
      <c r="H20" s="45"/>
      <c r="I20" s="45"/>
      <c r="J20" s="45"/>
      <c r="K20" s="45"/>
      <c r="L20" s="45"/>
      <c r="M20" s="45"/>
      <c r="N20" s="46">
        <v>45234</v>
      </c>
      <c r="O20" s="47">
        <f t="shared" si="0"/>
        <v>0</v>
      </c>
      <c r="P20" s="48">
        <v>393</v>
      </c>
      <c r="Q20" s="48">
        <v>583</v>
      </c>
      <c r="R20" s="49">
        <v>1.48</v>
      </c>
      <c r="S20" s="48">
        <v>5</v>
      </c>
      <c r="T20" s="50">
        <v>8.6E-3</v>
      </c>
      <c r="U20" s="51">
        <v>3579</v>
      </c>
      <c r="V20" s="51">
        <v>30698</v>
      </c>
      <c r="W20" s="52">
        <v>17897</v>
      </c>
      <c r="X20" s="53"/>
      <c r="Y20" s="45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45"/>
      <c r="AL20" s="45"/>
    </row>
    <row r="21" spans="1:38" ht="18.75" customHeight="1">
      <c r="A21" s="45"/>
      <c r="B21" s="45"/>
      <c r="C21" s="45"/>
      <c r="D21" s="63"/>
      <c r="E21" s="45"/>
      <c r="F21" s="45"/>
      <c r="G21" s="45"/>
      <c r="H21" s="45"/>
      <c r="I21" s="45"/>
      <c r="J21" s="45"/>
      <c r="K21" s="45"/>
      <c r="L21" s="45"/>
      <c r="M21" s="45"/>
      <c r="N21" s="46">
        <v>45235</v>
      </c>
      <c r="O21" s="47">
        <f t="shared" si="0"/>
        <v>0</v>
      </c>
      <c r="P21" s="48">
        <v>566</v>
      </c>
      <c r="Q21" s="48">
        <v>854</v>
      </c>
      <c r="R21" s="49">
        <v>1.51</v>
      </c>
      <c r="S21" s="48">
        <v>26</v>
      </c>
      <c r="T21" s="50">
        <v>3.04E-2</v>
      </c>
      <c r="U21" s="51">
        <v>1086</v>
      </c>
      <c r="V21" s="51">
        <v>33050</v>
      </c>
      <c r="W21" s="52">
        <v>28225</v>
      </c>
      <c r="X21" s="53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spans="1:38" ht="18.75" customHeight="1">
      <c r="A22" s="45"/>
      <c r="B22" s="45"/>
      <c r="C22" s="45"/>
      <c r="D22" s="63"/>
      <c r="E22" s="45"/>
      <c r="F22" s="45"/>
      <c r="G22" s="45"/>
      <c r="H22" s="45"/>
      <c r="I22" s="45"/>
      <c r="J22" s="45"/>
      <c r="K22" s="45"/>
      <c r="L22" s="45"/>
      <c r="M22" s="45"/>
      <c r="N22" s="46">
        <v>45236</v>
      </c>
      <c r="O22" s="47">
        <f t="shared" si="0"/>
        <v>1</v>
      </c>
      <c r="P22" s="48">
        <v>446</v>
      </c>
      <c r="Q22" s="48">
        <v>779</v>
      </c>
      <c r="R22" s="49">
        <v>1.75</v>
      </c>
      <c r="S22" s="48">
        <v>24</v>
      </c>
      <c r="T22" s="50">
        <v>3.0800000000000001E-2</v>
      </c>
      <c r="U22" s="51">
        <v>1237</v>
      </c>
      <c r="V22" s="51">
        <v>38118</v>
      </c>
      <c r="W22" s="52">
        <v>29694</v>
      </c>
      <c r="X22" s="53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 ht="18.75" customHeight="1">
      <c r="A23" s="45"/>
      <c r="B23" s="45"/>
      <c r="C23" s="45"/>
      <c r="D23" s="63"/>
      <c r="E23" s="45"/>
      <c r="F23" s="45"/>
      <c r="G23" s="45"/>
      <c r="H23" s="45"/>
      <c r="I23" s="45"/>
      <c r="J23" s="45"/>
      <c r="K23" s="45"/>
      <c r="L23" s="45"/>
      <c r="M23" s="45"/>
      <c r="N23" s="46">
        <v>45237</v>
      </c>
      <c r="O23" s="47">
        <f t="shared" si="0"/>
        <v>0</v>
      </c>
      <c r="P23" s="48">
        <v>319</v>
      </c>
      <c r="Q23" s="48">
        <v>830</v>
      </c>
      <c r="R23" s="49">
        <v>2.6</v>
      </c>
      <c r="S23" s="48">
        <v>7</v>
      </c>
      <c r="T23" s="50">
        <v>8.3999999999999995E-3</v>
      </c>
      <c r="U23" s="51">
        <v>4258</v>
      </c>
      <c r="V23" s="51">
        <v>35910</v>
      </c>
      <c r="W23" s="52">
        <v>29805</v>
      </c>
      <c r="X23" s="53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spans="1:38" ht="18.75" customHeight="1">
      <c r="A24" s="45"/>
      <c r="B24" s="45"/>
      <c r="C24" s="45"/>
      <c r="D24" s="63"/>
      <c r="E24" s="45"/>
      <c r="F24" s="45"/>
      <c r="G24" s="45"/>
      <c r="H24" s="45"/>
      <c r="I24" s="45"/>
      <c r="J24" s="45"/>
      <c r="K24" s="45"/>
      <c r="L24" s="45"/>
      <c r="M24" s="45"/>
      <c r="N24" s="46">
        <v>45238</v>
      </c>
      <c r="O24" s="47">
        <f t="shared" si="0"/>
        <v>0</v>
      </c>
      <c r="P24" s="48">
        <v>277</v>
      </c>
      <c r="Q24" s="48">
        <v>650</v>
      </c>
      <c r="R24" s="49">
        <v>2.35</v>
      </c>
      <c r="S24" s="48">
        <v>5</v>
      </c>
      <c r="T24" s="50">
        <v>9.1999999999999998E-3</v>
      </c>
      <c r="U24" s="51">
        <v>4009</v>
      </c>
      <c r="V24" s="51">
        <v>37006</v>
      </c>
      <c r="W24" s="52">
        <v>24054</v>
      </c>
      <c r="X24" s="53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spans="1:38" ht="18.75" customHeight="1">
      <c r="A25" s="45"/>
      <c r="B25" s="45"/>
      <c r="C25" s="45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6">
        <v>45239</v>
      </c>
      <c r="O25" s="47">
        <f t="shared" si="0"/>
        <v>0</v>
      </c>
      <c r="P25" s="48">
        <v>278</v>
      </c>
      <c r="Q25" s="48">
        <v>627</v>
      </c>
      <c r="R25" s="49">
        <v>2.2599999999999998</v>
      </c>
      <c r="S25" s="48">
        <v>10</v>
      </c>
      <c r="T25" s="50">
        <v>2.07E-2</v>
      </c>
      <c r="U25" s="51">
        <v>1813</v>
      </c>
      <c r="V25" s="51">
        <v>37592</v>
      </c>
      <c r="W25" s="52">
        <v>23570</v>
      </c>
      <c r="X25" s="53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spans="1:38" ht="18.75" customHeight="1">
      <c r="A26" s="45"/>
      <c r="B26" s="45"/>
      <c r="C26" s="45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6">
        <v>45240</v>
      </c>
      <c r="O26" s="47">
        <f t="shared" si="0"/>
        <v>0</v>
      </c>
      <c r="P26" s="48">
        <v>319</v>
      </c>
      <c r="Q26" s="48">
        <v>680</v>
      </c>
      <c r="R26" s="49">
        <v>2.13</v>
      </c>
      <c r="S26" s="48">
        <v>9</v>
      </c>
      <c r="T26" s="50">
        <v>1.32E-2</v>
      </c>
      <c r="U26" s="51">
        <v>2587</v>
      </c>
      <c r="V26" s="51">
        <v>34240</v>
      </c>
      <c r="W26" s="52">
        <v>23283</v>
      </c>
      <c r="X26" s="53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spans="1:38" ht="18.75" customHeight="1">
      <c r="A27" s="45"/>
      <c r="B27" s="45"/>
      <c r="C27" s="45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6">
        <v>45241</v>
      </c>
      <c r="O27" s="47">
        <f t="shared" si="0"/>
        <v>0</v>
      </c>
      <c r="P27" s="48">
        <v>460</v>
      </c>
      <c r="Q27" s="48">
        <v>1173</v>
      </c>
      <c r="R27" s="49">
        <v>2.5499999999999998</v>
      </c>
      <c r="S27" s="48">
        <v>9</v>
      </c>
      <c r="T27" s="50">
        <v>1.0200000000000001E-2</v>
      </c>
      <c r="U27" s="51">
        <v>3004</v>
      </c>
      <c r="V27" s="51">
        <v>30731</v>
      </c>
      <c r="W27" s="52">
        <v>36047</v>
      </c>
      <c r="X27" s="53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 ht="18.75" customHeight="1">
      <c r="A28" s="45"/>
      <c r="B28" s="45"/>
      <c r="C28" s="45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6">
        <v>45242</v>
      </c>
      <c r="O28" s="47">
        <f t="shared" si="0"/>
        <v>0</v>
      </c>
      <c r="P28" s="48">
        <v>561</v>
      </c>
      <c r="Q28" s="48">
        <v>1385</v>
      </c>
      <c r="R28" s="49">
        <v>2.4700000000000002</v>
      </c>
      <c r="S28" s="48">
        <v>9</v>
      </c>
      <c r="T28" s="50">
        <v>7.1999999999999998E-3</v>
      </c>
      <c r="U28" s="51">
        <v>4294</v>
      </c>
      <c r="V28" s="51">
        <v>31006</v>
      </c>
      <c r="W28" s="52">
        <v>42943</v>
      </c>
      <c r="X28" s="53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</row>
    <row r="29" spans="1:38" ht="18.75" customHeight="1">
      <c r="A29" s="45"/>
      <c r="B29" s="45"/>
      <c r="C29" s="45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6">
        <v>45243</v>
      </c>
      <c r="O29" s="47">
        <f t="shared" si="0"/>
        <v>0</v>
      </c>
      <c r="P29" s="48">
        <v>565</v>
      </c>
      <c r="Q29" s="48">
        <v>1313</v>
      </c>
      <c r="R29" s="49">
        <v>2.3199999999999998</v>
      </c>
      <c r="S29" s="48">
        <v>8</v>
      </c>
      <c r="T29" s="50">
        <v>6.1000000000000004E-3</v>
      </c>
      <c r="U29" s="51">
        <v>5351</v>
      </c>
      <c r="V29" s="51">
        <v>32603</v>
      </c>
      <c r="W29" s="52">
        <v>42808</v>
      </c>
      <c r="X29" s="52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spans="1:38" ht="18.75" customHeight="1">
      <c r="A30" s="45"/>
      <c r="B30" s="45"/>
      <c r="C30" s="45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6">
        <v>45244</v>
      </c>
      <c r="O30" s="47">
        <f t="shared" si="0"/>
        <v>0</v>
      </c>
      <c r="P30" s="48">
        <v>385</v>
      </c>
      <c r="Q30" s="48">
        <v>708</v>
      </c>
      <c r="R30" s="49">
        <v>1.84</v>
      </c>
      <c r="S30" s="48">
        <v>8</v>
      </c>
      <c r="T30" s="50">
        <v>1.41E-2</v>
      </c>
      <c r="U30" s="51">
        <v>2560</v>
      </c>
      <c r="V30" s="51">
        <v>36164</v>
      </c>
      <c r="W30" s="52">
        <v>25604</v>
      </c>
      <c r="X30" s="53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</row>
    <row r="31" spans="1:38" ht="18.75" customHeight="1">
      <c r="A31" s="45"/>
      <c r="B31" s="45"/>
      <c r="C31" s="45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6">
        <v>45245</v>
      </c>
      <c r="O31" s="47">
        <f t="shared" si="0"/>
        <v>0</v>
      </c>
      <c r="P31" s="48">
        <v>188</v>
      </c>
      <c r="Q31" s="48">
        <v>407</v>
      </c>
      <c r="R31" s="49">
        <v>2.16</v>
      </c>
      <c r="S31" s="48">
        <v>3</v>
      </c>
      <c r="T31" s="50">
        <v>7.4000000000000003E-3</v>
      </c>
      <c r="U31" s="51">
        <v>6536</v>
      </c>
      <c r="V31" s="51">
        <v>48177</v>
      </c>
      <c r="W31" s="52">
        <v>19608</v>
      </c>
      <c r="X31" s="52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 ht="18.75" customHeight="1">
      <c r="A32" s="45"/>
      <c r="B32" s="45"/>
      <c r="C32" s="45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6">
        <v>45246</v>
      </c>
      <c r="O32" s="47">
        <f t="shared" si="0"/>
        <v>0</v>
      </c>
      <c r="P32" s="48">
        <v>215</v>
      </c>
      <c r="Q32" s="48">
        <v>427</v>
      </c>
      <c r="R32" s="49">
        <v>1.99</v>
      </c>
      <c r="S32" s="48" t="s">
        <v>4</v>
      </c>
      <c r="T32" s="47" t="s">
        <v>524</v>
      </c>
      <c r="U32" s="51" t="s">
        <v>4</v>
      </c>
      <c r="V32" s="51">
        <v>41459</v>
      </c>
      <c r="W32" s="52">
        <v>17703</v>
      </c>
      <c r="X32" s="53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spans="1:38" ht="18.75" customHeight="1">
      <c r="A33" s="45"/>
      <c r="B33" s="45"/>
      <c r="C33" s="45"/>
      <c r="D33" s="63"/>
      <c r="E33" s="45"/>
      <c r="F33" s="45"/>
      <c r="G33" s="45"/>
      <c r="H33" s="45"/>
      <c r="I33" s="45"/>
      <c r="J33" s="45"/>
      <c r="K33" s="45"/>
      <c r="L33" s="45"/>
      <c r="M33" s="45"/>
      <c r="N33" s="46">
        <v>45247</v>
      </c>
      <c r="O33" s="47">
        <f t="shared" si="0"/>
        <v>0</v>
      </c>
      <c r="P33" s="48">
        <v>73</v>
      </c>
      <c r="Q33" s="48">
        <v>100</v>
      </c>
      <c r="R33" s="49">
        <v>1.37</v>
      </c>
      <c r="S33" s="48">
        <v>2</v>
      </c>
      <c r="T33" s="50">
        <v>0.02</v>
      </c>
      <c r="U33" s="51">
        <v>2138</v>
      </c>
      <c r="V33" s="51">
        <v>42760</v>
      </c>
      <c r="W33" s="52">
        <v>4276</v>
      </c>
      <c r="X33" s="61" t="s">
        <v>525</v>
      </c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spans="1:38" ht="18.75" customHeight="1">
      <c r="A34" s="45"/>
      <c r="B34" s="45"/>
      <c r="C34" s="45"/>
      <c r="D34" s="63"/>
      <c r="E34" s="45"/>
      <c r="F34" s="45"/>
      <c r="G34" s="45"/>
      <c r="H34" s="45"/>
      <c r="I34" s="6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</row>
    <row r="35" spans="1:38" ht="18.75" customHeight="1">
      <c r="A35" s="45"/>
      <c r="B35" s="45"/>
      <c r="C35" s="45"/>
      <c r="D35" s="63"/>
      <c r="E35" s="45"/>
      <c r="F35" s="45"/>
      <c r="G35" s="45"/>
      <c r="H35" s="45"/>
      <c r="I35" s="63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 ht="18.75" customHeight="1">
      <c r="A36" s="45"/>
      <c r="B36" s="45"/>
      <c r="C36" s="45"/>
      <c r="D36" s="63"/>
      <c r="E36" s="45"/>
      <c r="F36" s="45"/>
      <c r="G36" s="45"/>
      <c r="H36" s="45"/>
      <c r="I36" s="63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 spans="1:38" ht="18.75" customHeight="1">
      <c r="A37" s="45"/>
      <c r="B37" s="45"/>
      <c r="C37" s="45"/>
      <c r="D37" s="63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 ht="18.75" customHeight="1">
      <c r="A38" s="45"/>
      <c r="B38" s="45"/>
      <c r="C38" s="45"/>
      <c r="D38" s="63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</row>
    <row r="39" spans="1:38" ht="18.75" customHeight="1">
      <c r="A39" s="45"/>
      <c r="B39" s="45"/>
      <c r="C39" s="45"/>
      <c r="D39" s="63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spans="1:38" ht="18.75" customHeight="1">
      <c r="A40" s="45"/>
      <c r="B40" s="45"/>
      <c r="C40" s="45"/>
      <c r="D40" s="6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 spans="1:38" ht="18.75" customHeight="1">
      <c r="A41" s="45"/>
      <c r="B41" s="45"/>
      <c r="C41" s="45"/>
      <c r="D41" s="63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spans="1:38" ht="18.75" customHeight="1">
      <c r="A42" s="45"/>
      <c r="B42" s="45"/>
      <c r="C42" s="45"/>
      <c r="D42" s="63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 spans="1:38" ht="18.75" customHeight="1">
      <c r="A43" s="45"/>
      <c r="B43" s="45"/>
      <c r="C43" s="45"/>
      <c r="D43" s="63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spans="1:38" ht="18.75" customHeight="1">
      <c r="A44" s="45"/>
      <c r="B44" s="45"/>
      <c r="C44" s="45"/>
      <c r="D44" s="63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 ht="18.75" customHeight="1">
      <c r="A45" s="45"/>
      <c r="B45" s="45"/>
      <c r="C45" s="45"/>
      <c r="D45" s="63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 ht="18.75" customHeight="1">
      <c r="A46" s="45"/>
      <c r="B46" s="45"/>
      <c r="C46" s="45"/>
      <c r="D46" s="63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 ht="18.75" customHeight="1">
      <c r="A47" s="45"/>
      <c r="B47" s="45"/>
      <c r="C47" s="45"/>
      <c r="D47" s="63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 ht="18.75" customHeight="1">
      <c r="A48" s="45"/>
      <c r="B48" s="45"/>
      <c r="C48" s="45"/>
      <c r="D48" s="63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 ht="18.75" customHeight="1">
      <c r="A49" s="45"/>
      <c r="B49" s="45"/>
      <c r="C49" s="45"/>
      <c r="D49" s="63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 ht="18.75" customHeight="1">
      <c r="A50" s="45"/>
      <c r="B50" s="45"/>
      <c r="C50" s="45"/>
      <c r="D50" s="63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8.75" customHeight="1">
      <c r="A51" s="45"/>
      <c r="B51" s="45"/>
      <c r="C51" s="45"/>
      <c r="D51" s="63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8.75" customHeight="1">
      <c r="A52" s="45"/>
      <c r="B52" s="45"/>
      <c r="C52" s="45"/>
      <c r="D52" s="63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8.75" customHeight="1">
      <c r="A53" s="45"/>
      <c r="B53" s="45"/>
      <c r="C53" s="45"/>
      <c r="D53" s="63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8.75" customHeight="1">
      <c r="A54" s="45"/>
      <c r="B54" s="45"/>
      <c r="C54" s="45"/>
      <c r="D54" s="63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8.75" customHeight="1">
      <c r="A55" s="45"/>
      <c r="B55" s="45"/>
      <c r="C55" s="45"/>
      <c r="D55" s="63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8.75" customHeight="1">
      <c r="A56" s="45"/>
      <c r="B56" s="45"/>
      <c r="C56" s="45"/>
      <c r="D56" s="63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8.75" customHeight="1">
      <c r="A57" s="45"/>
      <c r="B57" s="45"/>
      <c r="C57" s="45"/>
      <c r="D57" s="6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 ht="18.75" customHeight="1">
      <c r="A58" s="45"/>
      <c r="B58" s="45"/>
      <c r="C58" s="45"/>
      <c r="D58" s="63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 ht="18.75" customHeight="1">
      <c r="A59" s="45"/>
      <c r="B59" s="45"/>
      <c r="C59" s="45"/>
      <c r="D59" s="63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 ht="18.75" customHeight="1">
      <c r="A60" s="45"/>
      <c r="B60" s="45"/>
      <c r="C60" s="45"/>
      <c r="D60" s="63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ht="18.75" customHeight="1">
      <c r="A61" s="45"/>
      <c r="B61" s="45"/>
      <c r="C61" s="45"/>
      <c r="D61" s="63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 ht="18.75" customHeight="1">
      <c r="A62" s="45"/>
      <c r="B62" s="45"/>
      <c r="C62" s="45"/>
      <c r="D62" s="63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8.75" customHeight="1">
      <c r="A63" s="45"/>
      <c r="B63" s="45"/>
      <c r="C63" s="45"/>
      <c r="D63" s="63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 ht="18.75" customHeight="1">
      <c r="A64" s="45"/>
      <c r="B64" s="45"/>
      <c r="C64" s="45"/>
      <c r="D64" s="63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 ht="18.75" customHeight="1">
      <c r="A65" s="45"/>
      <c r="B65" s="45"/>
      <c r="C65" s="45"/>
      <c r="D65" s="63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 ht="18.75" customHeight="1">
      <c r="A66" s="45"/>
      <c r="B66" s="45"/>
      <c r="C66" s="45"/>
      <c r="D66" s="63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 ht="18.75" customHeight="1">
      <c r="A67" s="45"/>
      <c r="B67" s="45"/>
      <c r="C67" s="45"/>
      <c r="D67" s="63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 ht="18.75" customHeight="1">
      <c r="A68" s="45"/>
      <c r="B68" s="45"/>
      <c r="C68" s="45"/>
      <c r="D68" s="63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ht="18.75" customHeight="1">
      <c r="A69" s="45"/>
      <c r="B69" s="45"/>
      <c r="C69" s="45"/>
      <c r="D69" s="63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 ht="18.75" customHeight="1">
      <c r="A70" s="45"/>
      <c r="B70" s="45"/>
      <c r="C70" s="45"/>
      <c r="D70" s="63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 ht="18.75" customHeight="1">
      <c r="A71" s="45"/>
      <c r="B71" s="45"/>
      <c r="C71" s="45"/>
      <c r="D71" s="63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 ht="18.75" customHeight="1">
      <c r="A72" s="45"/>
      <c r="B72" s="45"/>
      <c r="C72" s="45"/>
      <c r="D72" s="63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 ht="18.75" customHeight="1">
      <c r="A73" s="45"/>
      <c r="B73" s="45"/>
      <c r="C73" s="45"/>
      <c r="D73" s="63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 ht="18.75" customHeight="1">
      <c r="A74" s="45"/>
      <c r="B74" s="45"/>
      <c r="C74" s="45"/>
      <c r="D74" s="63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 ht="18.75" customHeight="1">
      <c r="A75" s="45"/>
      <c r="B75" s="45"/>
      <c r="C75" s="45"/>
      <c r="D75" s="63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 ht="18.75" customHeight="1">
      <c r="A76" s="45"/>
      <c r="B76" s="45"/>
      <c r="C76" s="45"/>
      <c r="D76" s="63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 ht="18.75" customHeight="1">
      <c r="A77" s="45"/>
      <c r="B77" s="45"/>
      <c r="C77" s="45"/>
      <c r="D77" s="63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 ht="18.75" customHeight="1">
      <c r="A78" s="45"/>
      <c r="B78" s="45"/>
      <c r="C78" s="45"/>
      <c r="D78" s="63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 ht="18.75" customHeight="1">
      <c r="A79" s="45"/>
      <c r="B79" s="45"/>
      <c r="C79" s="45"/>
      <c r="D79" s="63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 ht="18.75" customHeight="1">
      <c r="A80" s="45"/>
      <c r="B80" s="45"/>
      <c r="C80" s="45"/>
      <c r="D80" s="63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 ht="18.75" customHeight="1">
      <c r="A81" s="45"/>
      <c r="B81" s="45"/>
      <c r="C81" s="45"/>
      <c r="D81" s="63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 ht="18.75" customHeight="1">
      <c r="A82" s="45"/>
      <c r="B82" s="45"/>
      <c r="C82" s="45"/>
      <c r="D82" s="63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 ht="18.75" customHeight="1">
      <c r="A83" s="45"/>
      <c r="B83" s="45"/>
      <c r="C83" s="45"/>
      <c r="D83" s="63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 ht="18.75" customHeight="1">
      <c r="A84" s="45"/>
      <c r="B84" s="45"/>
      <c r="C84" s="45"/>
      <c r="D84" s="63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 ht="18.75" customHeight="1">
      <c r="A85" s="45"/>
      <c r="B85" s="45"/>
      <c r="C85" s="45"/>
      <c r="D85" s="63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 ht="18.75" customHeight="1">
      <c r="A86" s="45"/>
      <c r="B86" s="45"/>
      <c r="C86" s="45"/>
      <c r="D86" s="63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 ht="18.75" customHeight="1">
      <c r="A87" s="45"/>
      <c r="B87" s="45"/>
      <c r="C87" s="45"/>
      <c r="D87" s="63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 ht="18.75" customHeight="1">
      <c r="A88" s="45"/>
      <c r="B88" s="45"/>
      <c r="C88" s="45"/>
      <c r="D88" s="63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 ht="18.75" customHeight="1">
      <c r="A89" s="45"/>
      <c r="B89" s="45"/>
      <c r="C89" s="45"/>
      <c r="D89" s="63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 ht="18.75" customHeight="1">
      <c r="A90" s="45"/>
      <c r="B90" s="45"/>
      <c r="C90" s="45"/>
      <c r="D90" s="63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 ht="18.75" customHeight="1">
      <c r="A91" s="45"/>
      <c r="B91" s="45"/>
      <c r="C91" s="45"/>
      <c r="D91" s="63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 ht="18.75" customHeight="1">
      <c r="A92" s="45"/>
      <c r="B92" s="45"/>
      <c r="C92" s="45"/>
      <c r="D92" s="63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 ht="18.75" customHeight="1">
      <c r="A93" s="45"/>
      <c r="B93" s="45"/>
      <c r="C93" s="45"/>
      <c r="D93" s="63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 ht="18.75" customHeight="1">
      <c r="A94" s="45"/>
      <c r="B94" s="45"/>
      <c r="C94" s="45"/>
      <c r="D94" s="63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 ht="18.75" customHeight="1">
      <c r="A95" s="45"/>
      <c r="B95" s="45"/>
      <c r="C95" s="45"/>
      <c r="D95" s="63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 ht="18.75" customHeight="1">
      <c r="A96" s="45"/>
      <c r="B96" s="45"/>
      <c r="C96" s="45"/>
      <c r="D96" s="63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 ht="18.75" customHeight="1">
      <c r="A97" s="45"/>
      <c r="B97" s="45"/>
      <c r="C97" s="45"/>
      <c r="D97" s="63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 ht="18.75" customHeight="1">
      <c r="A98" s="45"/>
      <c r="B98" s="45"/>
      <c r="C98" s="45"/>
      <c r="D98" s="63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 ht="18.75" customHeight="1">
      <c r="A99" s="45"/>
      <c r="B99" s="45"/>
      <c r="C99" s="45"/>
      <c r="D99" s="63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 ht="18.75" customHeight="1">
      <c r="A100" s="45"/>
      <c r="B100" s="45"/>
      <c r="C100" s="45"/>
      <c r="D100" s="63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 ht="14">
      <c r="A101" s="7"/>
      <c r="B101" s="7"/>
      <c r="C101" s="7"/>
      <c r="D101" s="6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4">
      <c r="A102" s="7"/>
      <c r="B102" s="7"/>
      <c r="C102" s="7"/>
      <c r="D102" s="6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4">
      <c r="A103" s="7"/>
      <c r="B103" s="7"/>
      <c r="C103" s="7"/>
      <c r="D103" s="6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4">
      <c r="A104" s="7"/>
      <c r="B104" s="7"/>
      <c r="C104" s="7"/>
      <c r="D104" s="6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4">
      <c r="A105" s="7"/>
      <c r="B105" s="7"/>
      <c r="C105" s="7"/>
      <c r="D105" s="6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4">
      <c r="A106" s="7"/>
      <c r="B106" s="7"/>
      <c r="C106" s="7"/>
      <c r="D106" s="6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4">
      <c r="A107" s="7"/>
      <c r="B107" s="7"/>
      <c r="C107" s="7"/>
      <c r="D107" s="6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4">
      <c r="A108" s="7"/>
      <c r="B108" s="7"/>
      <c r="C108" s="7"/>
      <c r="D108" s="6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4">
      <c r="A109" s="7"/>
      <c r="B109" s="7"/>
      <c r="C109" s="7"/>
      <c r="D109" s="6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4">
      <c r="A110" s="7"/>
      <c r="B110" s="7"/>
      <c r="C110" s="7"/>
      <c r="D110" s="6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4">
      <c r="A111" s="7"/>
      <c r="B111" s="7"/>
      <c r="C111" s="7"/>
      <c r="D111" s="6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4">
      <c r="A112" s="7"/>
      <c r="B112" s="7"/>
      <c r="C112" s="7"/>
      <c r="D112" s="6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4">
      <c r="A113" s="7"/>
      <c r="B113" s="7"/>
      <c r="C113" s="7"/>
      <c r="D113" s="6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4">
      <c r="A114" s="7"/>
      <c r="B114" s="7"/>
      <c r="C114" s="7"/>
      <c r="D114" s="6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4">
      <c r="A115" s="7"/>
      <c r="B115" s="7"/>
      <c r="C115" s="7"/>
      <c r="D115" s="6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4">
      <c r="A116" s="7"/>
      <c r="B116" s="7"/>
      <c r="C116" s="7"/>
      <c r="D116" s="6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4">
      <c r="A117" s="7"/>
      <c r="B117" s="7"/>
      <c r="C117" s="7"/>
      <c r="D117" s="6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4">
      <c r="A118" s="7"/>
      <c r="B118" s="7"/>
      <c r="C118" s="7"/>
      <c r="D118" s="6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4">
      <c r="A119" s="7"/>
      <c r="B119" s="7"/>
      <c r="C119" s="7"/>
      <c r="D119" s="6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4">
      <c r="A120" s="7"/>
      <c r="B120" s="7"/>
      <c r="C120" s="7"/>
      <c r="D120" s="6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4">
      <c r="A121" s="7"/>
      <c r="B121" s="7"/>
      <c r="C121" s="7"/>
      <c r="D121" s="6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4">
      <c r="A122" s="7"/>
      <c r="B122" s="7"/>
      <c r="C122" s="7"/>
      <c r="D122" s="6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4">
      <c r="A123" s="7"/>
      <c r="B123" s="7"/>
      <c r="C123" s="7"/>
      <c r="D123" s="6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4">
      <c r="A124" s="7"/>
      <c r="B124" s="7"/>
      <c r="C124" s="7"/>
      <c r="D124" s="6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4">
      <c r="A125" s="7"/>
      <c r="B125" s="7"/>
      <c r="C125" s="7"/>
      <c r="D125" s="6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4">
      <c r="A126" s="7"/>
      <c r="B126" s="7"/>
      <c r="C126" s="7"/>
      <c r="D126" s="6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4">
      <c r="A127" s="7"/>
      <c r="B127" s="7"/>
      <c r="C127" s="7"/>
      <c r="D127" s="6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4">
      <c r="A128" s="7"/>
      <c r="B128" s="7"/>
      <c r="C128" s="7"/>
      <c r="D128" s="6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4">
      <c r="A129" s="7"/>
      <c r="B129" s="7"/>
      <c r="C129" s="7"/>
      <c r="D129" s="6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4">
      <c r="A130" s="7"/>
      <c r="B130" s="7"/>
      <c r="C130" s="7"/>
      <c r="D130" s="6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4">
      <c r="A131" s="7"/>
      <c r="B131" s="7"/>
      <c r="C131" s="7"/>
      <c r="D131" s="6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4">
      <c r="A132" s="7"/>
      <c r="B132" s="7"/>
      <c r="C132" s="7"/>
      <c r="D132" s="6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4">
      <c r="A133" s="7"/>
      <c r="B133" s="7"/>
      <c r="C133" s="7"/>
      <c r="D133" s="6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4">
      <c r="A134" s="7"/>
      <c r="B134" s="7"/>
      <c r="C134" s="7"/>
      <c r="D134" s="6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4">
      <c r="A135" s="7"/>
      <c r="B135" s="7"/>
      <c r="C135" s="7"/>
      <c r="D135" s="6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4">
      <c r="A136" s="7"/>
      <c r="B136" s="7"/>
      <c r="C136" s="7"/>
      <c r="D136" s="6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4">
      <c r="A137" s="7"/>
      <c r="B137" s="7"/>
      <c r="C137" s="7"/>
      <c r="D137" s="6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4">
      <c r="A138" s="7"/>
      <c r="B138" s="7"/>
      <c r="C138" s="7"/>
      <c r="D138" s="6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4">
      <c r="A139" s="7"/>
      <c r="B139" s="7"/>
      <c r="C139" s="7"/>
      <c r="D139" s="6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4">
      <c r="A140" s="7"/>
      <c r="B140" s="7"/>
      <c r="C140" s="7"/>
      <c r="D140" s="6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4">
      <c r="A141" s="7"/>
      <c r="B141" s="7"/>
      <c r="C141" s="7"/>
      <c r="D141" s="6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4">
      <c r="A142" s="7"/>
      <c r="B142" s="7"/>
      <c r="C142" s="7"/>
      <c r="D142" s="6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4">
      <c r="A143" s="7"/>
      <c r="B143" s="7"/>
      <c r="C143" s="7"/>
      <c r="D143" s="6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4">
      <c r="A144" s="7"/>
      <c r="B144" s="7"/>
      <c r="C144" s="7"/>
      <c r="D144" s="6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4">
      <c r="A145" s="7"/>
      <c r="B145" s="7"/>
      <c r="C145" s="7"/>
      <c r="D145" s="6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4">
      <c r="A146" s="7"/>
      <c r="B146" s="7"/>
      <c r="C146" s="7"/>
      <c r="D146" s="6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4">
      <c r="A147" s="7"/>
      <c r="B147" s="7"/>
      <c r="C147" s="7"/>
      <c r="D147" s="6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4">
      <c r="A148" s="7"/>
      <c r="B148" s="7"/>
      <c r="C148" s="7"/>
      <c r="D148" s="6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4">
      <c r="A149" s="7"/>
      <c r="B149" s="7"/>
      <c r="C149" s="7"/>
      <c r="D149" s="6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4">
      <c r="A150" s="7"/>
      <c r="B150" s="7"/>
      <c r="C150" s="7"/>
      <c r="D150" s="6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4">
      <c r="A151" s="7"/>
      <c r="B151" s="7"/>
      <c r="C151" s="7"/>
      <c r="D151" s="6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4">
      <c r="A152" s="7"/>
      <c r="B152" s="7"/>
      <c r="C152" s="7"/>
      <c r="D152" s="6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4">
      <c r="A153" s="7"/>
      <c r="B153" s="7"/>
      <c r="C153" s="7"/>
      <c r="D153" s="6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4">
      <c r="A154" s="7"/>
      <c r="B154" s="7"/>
      <c r="C154" s="7"/>
      <c r="D154" s="6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4">
      <c r="A155" s="7"/>
      <c r="B155" s="7"/>
      <c r="C155" s="7"/>
      <c r="D155" s="6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4">
      <c r="A156" s="7"/>
      <c r="B156" s="7"/>
      <c r="C156" s="7"/>
      <c r="D156" s="6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4">
      <c r="A157" s="7"/>
      <c r="B157" s="7"/>
      <c r="C157" s="7"/>
      <c r="D157" s="6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4">
      <c r="A158" s="7"/>
      <c r="B158" s="7"/>
      <c r="C158" s="7"/>
      <c r="D158" s="6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4">
      <c r="A159" s="7"/>
      <c r="B159" s="7"/>
      <c r="C159" s="7"/>
      <c r="D159" s="6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4">
      <c r="A160" s="7"/>
      <c r="B160" s="7"/>
      <c r="C160" s="7"/>
      <c r="D160" s="6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4">
      <c r="A161" s="7"/>
      <c r="B161" s="7"/>
      <c r="C161" s="7"/>
      <c r="D161" s="6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4">
      <c r="A162" s="7"/>
      <c r="B162" s="7"/>
      <c r="C162" s="7"/>
      <c r="D162" s="6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4">
      <c r="A163" s="7"/>
      <c r="B163" s="7"/>
      <c r="C163" s="7"/>
      <c r="D163" s="6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4">
      <c r="A164" s="7"/>
      <c r="B164" s="7"/>
      <c r="C164" s="7"/>
      <c r="D164" s="6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4">
      <c r="A165" s="7"/>
      <c r="B165" s="7"/>
      <c r="C165" s="7"/>
      <c r="D165" s="6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4">
      <c r="A166" s="7"/>
      <c r="B166" s="7"/>
      <c r="C166" s="7"/>
      <c r="D166" s="6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4">
      <c r="A167" s="7"/>
      <c r="B167" s="7"/>
      <c r="C167" s="7"/>
      <c r="D167" s="6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4">
      <c r="A168" s="7"/>
      <c r="B168" s="7"/>
      <c r="C168" s="7"/>
      <c r="D168" s="6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4">
      <c r="A169" s="7"/>
      <c r="B169" s="7"/>
      <c r="C169" s="7"/>
      <c r="D169" s="6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4">
      <c r="A170" s="7"/>
      <c r="B170" s="7"/>
      <c r="C170" s="7"/>
      <c r="D170" s="6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4">
      <c r="A171" s="7"/>
      <c r="B171" s="7"/>
      <c r="C171" s="7"/>
      <c r="D171" s="6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4">
      <c r="A172" s="7"/>
      <c r="B172" s="7"/>
      <c r="C172" s="7"/>
      <c r="D172" s="6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4">
      <c r="A173" s="7"/>
      <c r="B173" s="7"/>
      <c r="C173" s="7"/>
      <c r="D173" s="6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4">
      <c r="A174" s="7"/>
      <c r="B174" s="7"/>
      <c r="C174" s="7"/>
      <c r="D174" s="6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4">
      <c r="A175" s="7"/>
      <c r="B175" s="7"/>
      <c r="C175" s="7"/>
      <c r="D175" s="6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4">
      <c r="A176" s="7"/>
      <c r="B176" s="7"/>
      <c r="C176" s="7"/>
      <c r="D176" s="6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4">
      <c r="A177" s="7"/>
      <c r="B177" s="7"/>
      <c r="C177" s="7"/>
      <c r="D177" s="6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4">
      <c r="A178" s="7"/>
      <c r="B178" s="7"/>
      <c r="C178" s="7"/>
      <c r="D178" s="6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4">
      <c r="A179" s="7"/>
      <c r="B179" s="7"/>
      <c r="C179" s="7"/>
      <c r="D179" s="6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4">
      <c r="A180" s="7"/>
      <c r="B180" s="7"/>
      <c r="C180" s="7"/>
      <c r="D180" s="6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4">
      <c r="A181" s="7"/>
      <c r="B181" s="7"/>
      <c r="C181" s="7"/>
      <c r="D181" s="6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4">
      <c r="A182" s="7"/>
      <c r="B182" s="7"/>
      <c r="C182" s="7"/>
      <c r="D182" s="6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4">
      <c r="A183" s="7"/>
      <c r="B183" s="7"/>
      <c r="C183" s="7"/>
      <c r="D183" s="6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4">
      <c r="A184" s="7"/>
      <c r="B184" s="7"/>
      <c r="C184" s="7"/>
      <c r="D184" s="6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4">
      <c r="A185" s="7"/>
      <c r="B185" s="7"/>
      <c r="C185" s="7"/>
      <c r="D185" s="6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4">
      <c r="A186" s="7"/>
      <c r="B186" s="7"/>
      <c r="C186" s="7"/>
      <c r="D186" s="6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4">
      <c r="A187" s="7"/>
      <c r="B187" s="7"/>
      <c r="C187" s="7"/>
      <c r="D187" s="6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4">
      <c r="A188" s="7"/>
      <c r="B188" s="7"/>
      <c r="C188" s="7"/>
      <c r="D188" s="6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4">
      <c r="A189" s="7"/>
      <c r="B189" s="7"/>
      <c r="C189" s="7"/>
      <c r="D189" s="6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4">
      <c r="A190" s="7"/>
      <c r="B190" s="7"/>
      <c r="C190" s="7"/>
      <c r="D190" s="6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4">
      <c r="A191" s="7"/>
      <c r="B191" s="7"/>
      <c r="C191" s="7"/>
      <c r="D191" s="6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4">
      <c r="A192" s="7"/>
      <c r="B192" s="7"/>
      <c r="C192" s="7"/>
      <c r="D192" s="6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4">
      <c r="A193" s="7"/>
      <c r="B193" s="7"/>
      <c r="C193" s="7"/>
      <c r="D193" s="6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4">
      <c r="A194" s="7"/>
      <c r="B194" s="7"/>
      <c r="C194" s="7"/>
      <c r="D194" s="6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4">
      <c r="A195" s="7"/>
      <c r="B195" s="7"/>
      <c r="C195" s="7"/>
      <c r="D195" s="6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4">
      <c r="A196" s="7"/>
      <c r="B196" s="7"/>
      <c r="C196" s="7"/>
      <c r="D196" s="6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4">
      <c r="A197" s="7"/>
      <c r="B197" s="7"/>
      <c r="C197" s="7"/>
      <c r="D197" s="6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4">
      <c r="A198" s="7"/>
      <c r="B198" s="7"/>
      <c r="C198" s="7"/>
      <c r="D198" s="6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4">
      <c r="A199" s="7"/>
      <c r="B199" s="7"/>
      <c r="C199" s="7"/>
      <c r="D199" s="6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4">
      <c r="A200" s="7"/>
      <c r="B200" s="7"/>
      <c r="C200" s="7"/>
      <c r="D200" s="6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4">
      <c r="A201" s="7"/>
      <c r="B201" s="7"/>
      <c r="C201" s="7"/>
      <c r="D201" s="6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4">
      <c r="A202" s="7"/>
      <c r="B202" s="7"/>
      <c r="C202" s="7"/>
      <c r="D202" s="6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4">
      <c r="A203" s="7"/>
      <c r="B203" s="7"/>
      <c r="C203" s="7"/>
      <c r="D203" s="6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4">
      <c r="A204" s="7"/>
      <c r="B204" s="7"/>
      <c r="C204" s="7"/>
      <c r="D204" s="6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4">
      <c r="A205" s="7"/>
      <c r="B205" s="7"/>
      <c r="C205" s="7"/>
      <c r="D205" s="6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4">
      <c r="A206" s="7"/>
      <c r="B206" s="7"/>
      <c r="C206" s="7"/>
      <c r="D206" s="6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4">
      <c r="A207" s="7"/>
      <c r="B207" s="7"/>
      <c r="C207" s="7"/>
      <c r="D207" s="6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4">
      <c r="A208" s="7"/>
      <c r="B208" s="7"/>
      <c r="C208" s="7"/>
      <c r="D208" s="6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4">
      <c r="A209" s="7"/>
      <c r="B209" s="7"/>
      <c r="C209" s="7"/>
      <c r="D209" s="6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4">
      <c r="A210" s="7"/>
      <c r="B210" s="7"/>
      <c r="C210" s="7"/>
      <c r="D210" s="6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4">
      <c r="A211" s="7"/>
      <c r="B211" s="7"/>
      <c r="C211" s="7"/>
      <c r="D211" s="6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4">
      <c r="A212" s="7"/>
      <c r="B212" s="7"/>
      <c r="C212" s="7"/>
      <c r="D212" s="6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4">
      <c r="A213" s="7"/>
      <c r="B213" s="7"/>
      <c r="C213" s="7"/>
      <c r="D213" s="6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4">
      <c r="A214" s="7"/>
      <c r="B214" s="7"/>
      <c r="C214" s="7"/>
      <c r="D214" s="6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4">
      <c r="A215" s="7"/>
      <c r="B215" s="7"/>
      <c r="C215" s="7"/>
      <c r="D215" s="6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4">
      <c r="A216" s="7"/>
      <c r="B216" s="7"/>
      <c r="C216" s="7"/>
      <c r="D216" s="6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4">
      <c r="A217" s="7"/>
      <c r="B217" s="7"/>
      <c r="C217" s="7"/>
      <c r="D217" s="6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4">
      <c r="A218" s="7"/>
      <c r="B218" s="7"/>
      <c r="C218" s="7"/>
      <c r="D218" s="6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4">
      <c r="A219" s="7"/>
      <c r="B219" s="7"/>
      <c r="C219" s="7"/>
      <c r="D219" s="6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4">
      <c r="A220" s="7"/>
      <c r="B220" s="7"/>
      <c r="C220" s="7"/>
      <c r="D220" s="6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4">
      <c r="A221" s="7"/>
      <c r="B221" s="7"/>
      <c r="C221" s="7"/>
      <c r="D221" s="6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4">
      <c r="A222" s="7"/>
      <c r="B222" s="7"/>
      <c r="C222" s="7"/>
      <c r="D222" s="6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4">
      <c r="A223" s="7"/>
      <c r="B223" s="7"/>
      <c r="C223" s="7"/>
      <c r="D223" s="6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4">
      <c r="A224" s="7"/>
      <c r="B224" s="7"/>
      <c r="C224" s="7"/>
      <c r="D224" s="6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4">
      <c r="A225" s="7"/>
      <c r="B225" s="7"/>
      <c r="C225" s="7"/>
      <c r="D225" s="6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4">
      <c r="A226" s="7"/>
      <c r="B226" s="7"/>
      <c r="C226" s="7"/>
      <c r="D226" s="6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4">
      <c r="A227" s="7"/>
      <c r="B227" s="7"/>
      <c r="C227" s="7"/>
      <c r="D227" s="6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4">
      <c r="A228" s="7"/>
      <c r="B228" s="7"/>
      <c r="C228" s="7"/>
      <c r="D228" s="6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4">
      <c r="A229" s="7"/>
      <c r="B229" s="7"/>
      <c r="C229" s="7"/>
      <c r="D229" s="6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4">
      <c r="A230" s="7"/>
      <c r="B230" s="7"/>
      <c r="C230" s="7"/>
      <c r="D230" s="6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4">
      <c r="A231" s="7"/>
      <c r="B231" s="7"/>
      <c r="C231" s="7"/>
      <c r="D231" s="6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4">
      <c r="A232" s="7"/>
      <c r="B232" s="7"/>
      <c r="C232" s="7"/>
      <c r="D232" s="6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4">
      <c r="A233" s="7"/>
      <c r="B233" s="7"/>
      <c r="C233" s="7"/>
      <c r="D233" s="6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4">
      <c r="N234" s="2"/>
    </row>
    <row r="235" spans="1:38" ht="14">
      <c r="N235" s="2"/>
    </row>
    <row r="236" spans="1:38" ht="14">
      <c r="N236" s="2"/>
    </row>
    <row r="237" spans="1:38" ht="14">
      <c r="N237" s="2"/>
    </row>
    <row r="238" spans="1:38" ht="14">
      <c r="N238" s="2"/>
    </row>
    <row r="239" spans="1:38" ht="14">
      <c r="N239" s="2"/>
    </row>
    <row r="240" spans="1:38" ht="14">
      <c r="N240" s="2"/>
    </row>
    <row r="241" spans="14:14" ht="14">
      <c r="N241" s="2"/>
    </row>
    <row r="242" spans="14:14" ht="14">
      <c r="N242" s="2"/>
    </row>
    <row r="243" spans="14:14" ht="14">
      <c r="N243" s="2"/>
    </row>
    <row r="244" spans="14:14" ht="14">
      <c r="N244" s="2"/>
    </row>
    <row r="245" spans="14:14" ht="14">
      <c r="N245" s="2"/>
    </row>
    <row r="246" spans="14:14" ht="14">
      <c r="N246" s="2"/>
    </row>
    <row r="247" spans="14:14" ht="14">
      <c r="N247" s="2"/>
    </row>
    <row r="248" spans="14:14" ht="14">
      <c r="N248" s="2"/>
    </row>
    <row r="249" spans="14:14" ht="14">
      <c r="N249" s="2"/>
    </row>
    <row r="250" spans="14:14" ht="14">
      <c r="N250" s="2"/>
    </row>
    <row r="251" spans="14:14" ht="14">
      <c r="N251" s="2"/>
    </row>
    <row r="252" spans="14:14" ht="14">
      <c r="N252" s="2"/>
    </row>
    <row r="253" spans="14:14" ht="14">
      <c r="N253" s="2"/>
    </row>
    <row r="254" spans="14:14" ht="14">
      <c r="N254" s="2"/>
    </row>
    <row r="255" spans="14:14" ht="14">
      <c r="N255" s="2"/>
    </row>
    <row r="256" spans="14:14" ht="14">
      <c r="N256" s="2"/>
    </row>
    <row r="257" spans="14:14" ht="14">
      <c r="N257" s="2"/>
    </row>
    <row r="258" spans="14:14" ht="14">
      <c r="N258" s="2"/>
    </row>
    <row r="259" spans="14:14" ht="14">
      <c r="N259" s="2"/>
    </row>
    <row r="260" spans="14:14" ht="14">
      <c r="N260" s="2"/>
    </row>
    <row r="261" spans="14:14" ht="14">
      <c r="N261" s="2"/>
    </row>
    <row r="262" spans="14:14" ht="14">
      <c r="N262" s="2"/>
    </row>
    <row r="263" spans="14:14" ht="14">
      <c r="N263" s="2"/>
    </row>
    <row r="264" spans="14:14" ht="14">
      <c r="N264" s="2"/>
    </row>
    <row r="265" spans="14:14" ht="14">
      <c r="N265" s="2"/>
    </row>
    <row r="266" spans="14:14" ht="14">
      <c r="N266" s="2"/>
    </row>
    <row r="267" spans="14:14" ht="14">
      <c r="N267" s="2"/>
    </row>
    <row r="268" spans="14:14" ht="14">
      <c r="N268" s="2"/>
    </row>
    <row r="269" spans="14:14" ht="14">
      <c r="N269" s="2"/>
    </row>
    <row r="270" spans="14:14" ht="14">
      <c r="N270" s="2"/>
    </row>
    <row r="271" spans="14:14" ht="14">
      <c r="N271" s="2"/>
    </row>
    <row r="272" spans="14:14" ht="14">
      <c r="N272" s="2"/>
    </row>
    <row r="273" spans="14:14" ht="14">
      <c r="N273" s="2"/>
    </row>
    <row r="274" spans="14:14" ht="14">
      <c r="N274" s="2"/>
    </row>
    <row r="275" spans="14:14" ht="14">
      <c r="N275" s="2"/>
    </row>
    <row r="276" spans="14:14" ht="14">
      <c r="N276" s="2"/>
    </row>
    <row r="277" spans="14:14" ht="14">
      <c r="N277" s="2"/>
    </row>
    <row r="278" spans="14:14" ht="14">
      <c r="N278" s="2"/>
    </row>
    <row r="279" spans="14:14" ht="14">
      <c r="N279" s="2"/>
    </row>
    <row r="280" spans="14:14" ht="14">
      <c r="N280" s="2"/>
    </row>
    <row r="281" spans="14:14" ht="14">
      <c r="N281" s="2"/>
    </row>
    <row r="282" spans="14:14" ht="14">
      <c r="N282" s="2"/>
    </row>
    <row r="283" spans="14:14" ht="14">
      <c r="N283" s="2"/>
    </row>
    <row r="284" spans="14:14" ht="14">
      <c r="N284" s="2"/>
    </row>
    <row r="285" spans="14:14" ht="14">
      <c r="N285" s="2"/>
    </row>
    <row r="286" spans="14:14" ht="14">
      <c r="N286" s="2"/>
    </row>
    <row r="287" spans="14:14" ht="14">
      <c r="N287" s="2"/>
    </row>
    <row r="288" spans="14:14" ht="14">
      <c r="N288" s="2"/>
    </row>
    <row r="289" spans="14:14" ht="14">
      <c r="N289" s="2"/>
    </row>
    <row r="290" spans="14:14" ht="14">
      <c r="N290" s="2"/>
    </row>
    <row r="291" spans="14:14" ht="14">
      <c r="N291" s="2"/>
    </row>
    <row r="292" spans="14:14" ht="14">
      <c r="N292" s="2"/>
    </row>
    <row r="293" spans="14:14" ht="14">
      <c r="N293" s="2"/>
    </row>
    <row r="294" spans="14:14" ht="14">
      <c r="N294" s="2"/>
    </row>
    <row r="295" spans="14:14" ht="14">
      <c r="N295" s="2"/>
    </row>
    <row r="296" spans="14:14" ht="14">
      <c r="N296" s="2"/>
    </row>
    <row r="297" spans="14:14" ht="14">
      <c r="N297" s="2"/>
    </row>
    <row r="298" spans="14:14" ht="14">
      <c r="N298" s="2"/>
    </row>
    <row r="299" spans="14:14" ht="14">
      <c r="N299" s="2"/>
    </row>
    <row r="300" spans="14:14" ht="14">
      <c r="N300" s="2"/>
    </row>
    <row r="301" spans="14:14" ht="14">
      <c r="N301" s="2"/>
    </row>
    <row r="302" spans="14:14" ht="14">
      <c r="N302" s="2"/>
    </row>
    <row r="303" spans="14:14" ht="14">
      <c r="N303" s="2"/>
    </row>
    <row r="304" spans="14:14" ht="14">
      <c r="N304" s="2"/>
    </row>
    <row r="305" spans="14:14" ht="14">
      <c r="N305" s="2"/>
    </row>
    <row r="306" spans="14:14" ht="14">
      <c r="N306" s="2"/>
    </row>
    <row r="307" spans="14:14" ht="14">
      <c r="N307" s="2"/>
    </row>
    <row r="308" spans="14:14" ht="14">
      <c r="N308" s="2"/>
    </row>
    <row r="309" spans="14:14" ht="14">
      <c r="N309" s="2"/>
    </row>
    <row r="310" spans="14:14" ht="14">
      <c r="N310" s="2"/>
    </row>
    <row r="311" spans="14:14" ht="14">
      <c r="N311" s="2"/>
    </row>
    <row r="312" spans="14:14" ht="14">
      <c r="N312" s="2"/>
    </row>
    <row r="313" spans="14:14" ht="14">
      <c r="N313" s="2"/>
    </row>
    <row r="314" spans="14:14" ht="14">
      <c r="N314" s="2"/>
    </row>
    <row r="315" spans="14:14" ht="14">
      <c r="N315" s="2"/>
    </row>
    <row r="316" spans="14:14" ht="14">
      <c r="N316" s="2"/>
    </row>
    <row r="317" spans="14:14" ht="14">
      <c r="N317" s="2"/>
    </row>
    <row r="318" spans="14:14" ht="14">
      <c r="N318" s="2"/>
    </row>
    <row r="319" spans="14:14" ht="14">
      <c r="N319" s="2"/>
    </row>
    <row r="320" spans="14:14" ht="14">
      <c r="N320" s="2"/>
    </row>
    <row r="321" spans="14:14" ht="14">
      <c r="N321" s="2"/>
    </row>
    <row r="322" spans="14:14" ht="14">
      <c r="N322" s="2"/>
    </row>
    <row r="323" spans="14:14" ht="14">
      <c r="N323" s="2"/>
    </row>
    <row r="324" spans="14:14" ht="14">
      <c r="N324" s="2"/>
    </row>
    <row r="325" spans="14:14" ht="14">
      <c r="N325" s="2"/>
    </row>
    <row r="326" spans="14:14" ht="14">
      <c r="N326" s="2"/>
    </row>
    <row r="327" spans="14:14" ht="14">
      <c r="N327" s="2"/>
    </row>
    <row r="328" spans="14:14" ht="14">
      <c r="N328" s="2"/>
    </row>
    <row r="329" spans="14:14" ht="14">
      <c r="N329" s="2"/>
    </row>
    <row r="330" spans="14:14" ht="14">
      <c r="N330" s="2"/>
    </row>
    <row r="331" spans="14:14" ht="14">
      <c r="N331" s="2"/>
    </row>
    <row r="332" spans="14:14" ht="14">
      <c r="N332" s="2"/>
    </row>
    <row r="333" spans="14:14" ht="14">
      <c r="N333" s="2"/>
    </row>
    <row r="334" spans="14:14" ht="14">
      <c r="N334" s="2"/>
    </row>
    <row r="335" spans="14:14" ht="14">
      <c r="N335" s="2"/>
    </row>
    <row r="336" spans="14:14" ht="14">
      <c r="N336" s="2"/>
    </row>
    <row r="337" spans="14:14" ht="14">
      <c r="N337" s="2"/>
    </row>
    <row r="338" spans="14:14" ht="14">
      <c r="N338" s="2"/>
    </row>
    <row r="339" spans="14:14" ht="14">
      <c r="N339" s="2"/>
    </row>
    <row r="340" spans="14:14" ht="14">
      <c r="N340" s="2"/>
    </row>
    <row r="341" spans="14:14" ht="14">
      <c r="N341" s="2"/>
    </row>
    <row r="342" spans="14:14" ht="14">
      <c r="N342" s="2"/>
    </row>
    <row r="343" spans="14:14" ht="14">
      <c r="N343" s="2"/>
    </row>
    <row r="344" spans="14:14" ht="14">
      <c r="N344" s="2"/>
    </row>
    <row r="345" spans="14:14" ht="14">
      <c r="N345" s="2"/>
    </row>
    <row r="346" spans="14:14" ht="14">
      <c r="N346" s="2"/>
    </row>
    <row r="347" spans="14:14" ht="14">
      <c r="N347" s="2"/>
    </row>
    <row r="348" spans="14:14" ht="14">
      <c r="N348" s="2"/>
    </row>
    <row r="349" spans="14:14" ht="14">
      <c r="N349" s="2"/>
    </row>
    <row r="350" spans="14:14" ht="14">
      <c r="N350" s="2"/>
    </row>
    <row r="351" spans="14:14" ht="14">
      <c r="N351" s="2"/>
    </row>
    <row r="352" spans="14:14" ht="14">
      <c r="N352" s="2"/>
    </row>
    <row r="353" spans="14:14" ht="14">
      <c r="N353" s="2"/>
    </row>
    <row r="354" spans="14:14" ht="14">
      <c r="N354" s="2"/>
    </row>
    <row r="355" spans="14:14" ht="14">
      <c r="N355" s="2"/>
    </row>
    <row r="356" spans="14:14" ht="14">
      <c r="N356" s="2"/>
    </row>
    <row r="357" spans="14:14" ht="14">
      <c r="N357" s="2"/>
    </row>
    <row r="358" spans="14:14" ht="14">
      <c r="N358" s="2"/>
    </row>
    <row r="359" spans="14:14" ht="14">
      <c r="N359" s="2"/>
    </row>
    <row r="360" spans="14:14" ht="14">
      <c r="N360" s="2"/>
    </row>
    <row r="361" spans="14:14" ht="14">
      <c r="N361" s="2"/>
    </row>
    <row r="362" spans="14:14" ht="14">
      <c r="N362" s="2"/>
    </row>
    <row r="363" spans="14:14" ht="14">
      <c r="N363" s="2"/>
    </row>
    <row r="364" spans="14:14" ht="14">
      <c r="N364" s="2"/>
    </row>
    <row r="365" spans="14:14" ht="14">
      <c r="N365" s="2"/>
    </row>
    <row r="366" spans="14:14" ht="14">
      <c r="N366" s="2"/>
    </row>
    <row r="367" spans="14:14" ht="14">
      <c r="N367" s="2"/>
    </row>
    <row r="368" spans="14:14" ht="14">
      <c r="N368" s="2"/>
    </row>
    <row r="369" spans="14:14" ht="14">
      <c r="N369" s="2"/>
    </row>
    <row r="370" spans="14:14" ht="14">
      <c r="N370" s="2"/>
    </row>
    <row r="371" spans="14:14" ht="14">
      <c r="N371" s="2"/>
    </row>
    <row r="372" spans="14:14" ht="14">
      <c r="N372" s="2"/>
    </row>
    <row r="373" spans="14:14" ht="14">
      <c r="N373" s="2"/>
    </row>
    <row r="374" spans="14:14" ht="14">
      <c r="N374" s="2"/>
    </row>
    <row r="375" spans="14:14" ht="14">
      <c r="N375" s="2"/>
    </row>
    <row r="376" spans="14:14" ht="14">
      <c r="N376" s="2"/>
    </row>
    <row r="377" spans="14:14" ht="14">
      <c r="N377" s="2"/>
    </row>
    <row r="378" spans="14:14" ht="14">
      <c r="N378" s="2"/>
    </row>
    <row r="379" spans="14:14" ht="14">
      <c r="N379" s="2"/>
    </row>
    <row r="380" spans="14:14" ht="14">
      <c r="N380" s="2"/>
    </row>
    <row r="381" spans="14:14" ht="14">
      <c r="N381" s="2"/>
    </row>
    <row r="382" spans="14:14" ht="14">
      <c r="N382" s="2"/>
    </row>
    <row r="383" spans="14:14" ht="14">
      <c r="N383" s="2"/>
    </row>
    <row r="384" spans="14:14" ht="14">
      <c r="N384" s="2"/>
    </row>
    <row r="385" spans="14:14" ht="14">
      <c r="N385" s="2"/>
    </row>
    <row r="386" spans="14:14" ht="14">
      <c r="N386" s="2"/>
    </row>
    <row r="387" spans="14:14" ht="14">
      <c r="N387" s="2"/>
    </row>
    <row r="388" spans="14:14" ht="14">
      <c r="N388" s="2"/>
    </row>
    <row r="389" spans="14:14" ht="14">
      <c r="N389" s="2"/>
    </row>
    <row r="390" spans="14:14" ht="14">
      <c r="N390" s="2"/>
    </row>
    <row r="391" spans="14:14" ht="14">
      <c r="N391" s="2"/>
    </row>
    <row r="392" spans="14:14" ht="14">
      <c r="N392" s="2"/>
    </row>
    <row r="393" spans="14:14" ht="14">
      <c r="N393" s="2"/>
    </row>
    <row r="394" spans="14:14" ht="14">
      <c r="N394" s="2"/>
    </row>
    <row r="395" spans="14:14" ht="14">
      <c r="N395" s="2"/>
    </row>
    <row r="396" spans="14:14" ht="14">
      <c r="N396" s="2"/>
    </row>
    <row r="397" spans="14:14" ht="14">
      <c r="N397" s="2"/>
    </row>
    <row r="398" spans="14:14" ht="14">
      <c r="N398" s="2"/>
    </row>
    <row r="399" spans="14:14" ht="14">
      <c r="N399" s="2"/>
    </row>
    <row r="400" spans="14:14" ht="14">
      <c r="N400" s="2"/>
    </row>
    <row r="401" spans="14:14" ht="14">
      <c r="N401" s="2"/>
    </row>
    <row r="402" spans="14:14" ht="14">
      <c r="N402" s="2"/>
    </row>
    <row r="403" spans="14:14" ht="14">
      <c r="N403" s="2"/>
    </row>
    <row r="404" spans="14:14" ht="14">
      <c r="N404" s="2"/>
    </row>
    <row r="405" spans="14:14" ht="14">
      <c r="N405" s="2"/>
    </row>
    <row r="406" spans="14:14" ht="14">
      <c r="N406" s="2"/>
    </row>
    <row r="407" spans="14:14" ht="14">
      <c r="N407" s="2"/>
    </row>
    <row r="408" spans="14:14" ht="14">
      <c r="N408" s="2"/>
    </row>
    <row r="409" spans="14:14" ht="14">
      <c r="N409" s="2"/>
    </row>
    <row r="410" spans="14:14" ht="14">
      <c r="N410" s="2"/>
    </row>
    <row r="411" spans="14:14" ht="14">
      <c r="N411" s="2"/>
    </row>
    <row r="412" spans="14:14" ht="14">
      <c r="N412" s="2"/>
    </row>
    <row r="413" spans="14:14" ht="14">
      <c r="N413" s="2"/>
    </row>
    <row r="414" spans="14:14" ht="14">
      <c r="N414" s="2"/>
    </row>
    <row r="415" spans="14:14" ht="14">
      <c r="N415" s="2"/>
    </row>
    <row r="416" spans="14:14" ht="14">
      <c r="N416" s="2"/>
    </row>
    <row r="417" spans="14:14" ht="14">
      <c r="N417" s="2"/>
    </row>
    <row r="418" spans="14:14" ht="14">
      <c r="N418" s="2"/>
    </row>
    <row r="419" spans="14:14" ht="14">
      <c r="N419" s="2"/>
    </row>
    <row r="420" spans="14:14" ht="14">
      <c r="N420" s="2"/>
    </row>
    <row r="421" spans="14:14" ht="14">
      <c r="N421" s="2"/>
    </row>
    <row r="422" spans="14:14" ht="14">
      <c r="N422" s="2"/>
    </row>
    <row r="423" spans="14:14" ht="14">
      <c r="N423" s="2"/>
    </row>
    <row r="424" spans="14:14" ht="14">
      <c r="N424" s="2"/>
    </row>
    <row r="425" spans="14:14" ht="14">
      <c r="N425" s="2"/>
    </row>
    <row r="426" spans="14:14" ht="14">
      <c r="N426" s="2"/>
    </row>
    <row r="427" spans="14:14" ht="14">
      <c r="N427" s="2"/>
    </row>
    <row r="428" spans="14:14" ht="14">
      <c r="N428" s="2"/>
    </row>
    <row r="429" spans="14:14" ht="14">
      <c r="N429" s="2"/>
    </row>
    <row r="430" spans="14:14" ht="14">
      <c r="N430" s="2"/>
    </row>
    <row r="431" spans="14:14" ht="14">
      <c r="N431" s="2"/>
    </row>
    <row r="432" spans="14:14" ht="14">
      <c r="N432" s="2"/>
    </row>
    <row r="433" spans="14:14" ht="14">
      <c r="N433" s="2"/>
    </row>
    <row r="434" spans="14:14" ht="14">
      <c r="N434" s="2"/>
    </row>
    <row r="435" spans="14:14" ht="14">
      <c r="N435" s="2"/>
    </row>
    <row r="436" spans="14:14" ht="14">
      <c r="N436" s="2"/>
    </row>
    <row r="437" spans="14:14" ht="14">
      <c r="N437" s="2"/>
    </row>
    <row r="438" spans="14:14" ht="14">
      <c r="N438" s="2"/>
    </row>
    <row r="439" spans="14:14" ht="14">
      <c r="N439" s="2"/>
    </row>
    <row r="440" spans="14:14" ht="14">
      <c r="N440" s="2"/>
    </row>
    <row r="441" spans="14:14" ht="14">
      <c r="N441" s="2"/>
    </row>
    <row r="442" spans="14:14" ht="14">
      <c r="N442" s="2"/>
    </row>
    <row r="443" spans="14:14" ht="14">
      <c r="N443" s="2"/>
    </row>
    <row r="444" spans="14:14" ht="14">
      <c r="N444" s="2"/>
    </row>
    <row r="445" spans="14:14" ht="14">
      <c r="N445" s="2"/>
    </row>
    <row r="446" spans="14:14" ht="14">
      <c r="N446" s="2"/>
    </row>
    <row r="447" spans="14:14" ht="14">
      <c r="N447" s="2"/>
    </row>
    <row r="448" spans="14:14" ht="14">
      <c r="N448" s="2"/>
    </row>
    <row r="449" spans="14:14" ht="14">
      <c r="N449" s="2"/>
    </row>
    <row r="450" spans="14:14" ht="14">
      <c r="N450" s="2"/>
    </row>
    <row r="451" spans="14:14" ht="14">
      <c r="N451" s="2"/>
    </row>
    <row r="452" spans="14:14" ht="14">
      <c r="N452" s="2"/>
    </row>
    <row r="453" spans="14:14" ht="14">
      <c r="N453" s="2"/>
    </row>
    <row r="454" spans="14:14" ht="14">
      <c r="N454" s="2"/>
    </row>
    <row r="455" spans="14:14" ht="14">
      <c r="N455" s="2"/>
    </row>
    <row r="456" spans="14:14" ht="14">
      <c r="N456" s="2"/>
    </row>
    <row r="457" spans="14:14" ht="14">
      <c r="N457" s="2"/>
    </row>
    <row r="458" spans="14:14" ht="14">
      <c r="N458" s="2"/>
    </row>
    <row r="459" spans="14:14" ht="14">
      <c r="N459" s="2"/>
    </row>
    <row r="460" spans="14:14" ht="14">
      <c r="N460" s="2"/>
    </row>
    <row r="461" spans="14:14" ht="14">
      <c r="N461" s="2"/>
    </row>
    <row r="462" spans="14:14" ht="14">
      <c r="N462" s="2"/>
    </row>
    <row r="463" spans="14:14" ht="14">
      <c r="N463" s="2"/>
    </row>
    <row r="464" spans="14:14" ht="14">
      <c r="N464" s="2"/>
    </row>
    <row r="465" spans="14:14" ht="14">
      <c r="N465" s="2"/>
    </row>
    <row r="466" spans="14:14" ht="14">
      <c r="N466" s="2"/>
    </row>
    <row r="467" spans="14:14" ht="14">
      <c r="N467" s="2"/>
    </row>
    <row r="468" spans="14:14" ht="14">
      <c r="N468" s="2"/>
    </row>
    <row r="469" spans="14:14" ht="14">
      <c r="N469" s="2"/>
    </row>
    <row r="470" spans="14:14" ht="14">
      <c r="N470" s="2"/>
    </row>
    <row r="471" spans="14:14" ht="14">
      <c r="N471" s="2"/>
    </row>
    <row r="472" spans="14:14" ht="14">
      <c r="N472" s="2"/>
    </row>
    <row r="473" spans="14:14" ht="14">
      <c r="N473" s="2"/>
    </row>
    <row r="474" spans="14:14" ht="14">
      <c r="N474" s="2"/>
    </row>
    <row r="475" spans="14:14" ht="14">
      <c r="N475" s="2"/>
    </row>
    <row r="476" spans="14:14" ht="14">
      <c r="N476" s="2"/>
    </row>
    <row r="477" spans="14:14" ht="14">
      <c r="N477" s="2"/>
    </row>
    <row r="478" spans="14:14" ht="14">
      <c r="N478" s="2"/>
    </row>
    <row r="479" spans="14:14" ht="14">
      <c r="N479" s="2"/>
    </row>
    <row r="480" spans="14:14" ht="14">
      <c r="N480" s="2"/>
    </row>
    <row r="481" spans="14:14" ht="14">
      <c r="N481" s="2"/>
    </row>
    <row r="482" spans="14:14" ht="14">
      <c r="N482" s="2"/>
    </row>
    <row r="483" spans="14:14" ht="14">
      <c r="N483" s="2"/>
    </row>
    <row r="484" spans="14:14" ht="14">
      <c r="N484" s="2"/>
    </row>
    <row r="485" spans="14:14" ht="14">
      <c r="N485" s="2"/>
    </row>
    <row r="486" spans="14:14" ht="14">
      <c r="N486" s="2"/>
    </row>
    <row r="487" spans="14:14" ht="14">
      <c r="N487" s="2"/>
    </row>
    <row r="488" spans="14:14" ht="14">
      <c r="N488" s="2"/>
    </row>
    <row r="489" spans="14:14" ht="14">
      <c r="N489" s="2"/>
    </row>
    <row r="490" spans="14:14" ht="14">
      <c r="N490" s="2"/>
    </row>
    <row r="491" spans="14:14" ht="14">
      <c r="N491" s="2"/>
    </row>
    <row r="492" spans="14:14" ht="14">
      <c r="N492" s="2"/>
    </row>
    <row r="493" spans="14:14" ht="14">
      <c r="N493" s="2"/>
    </row>
    <row r="494" spans="14:14" ht="14">
      <c r="N494" s="2"/>
    </row>
    <row r="495" spans="14:14" ht="14">
      <c r="N495" s="2"/>
    </row>
    <row r="496" spans="14:14" ht="14">
      <c r="N496" s="2"/>
    </row>
    <row r="497" spans="14:14" ht="14">
      <c r="N497" s="2"/>
    </row>
    <row r="498" spans="14:14" ht="14">
      <c r="N498" s="2"/>
    </row>
    <row r="499" spans="14:14" ht="14">
      <c r="N499" s="2"/>
    </row>
    <row r="500" spans="14:14" ht="14">
      <c r="N500" s="2"/>
    </row>
    <row r="501" spans="14:14" ht="14">
      <c r="N501" s="2"/>
    </row>
    <row r="502" spans="14:14" ht="14">
      <c r="N502" s="2"/>
    </row>
    <row r="503" spans="14:14" ht="14">
      <c r="N503" s="2"/>
    </row>
    <row r="504" spans="14:14" ht="14">
      <c r="N504" s="2"/>
    </row>
    <row r="505" spans="14:14" ht="14">
      <c r="N505" s="2"/>
    </row>
    <row r="506" spans="14:14" ht="14">
      <c r="N506" s="2"/>
    </row>
    <row r="507" spans="14:14" ht="14">
      <c r="N507" s="2"/>
    </row>
    <row r="508" spans="14:14" ht="14">
      <c r="N508" s="2"/>
    </row>
    <row r="509" spans="14:14" ht="14">
      <c r="N509" s="2"/>
    </row>
    <row r="510" spans="14:14" ht="14">
      <c r="N510" s="2"/>
    </row>
    <row r="511" spans="14:14" ht="14">
      <c r="N511" s="2"/>
    </row>
    <row r="512" spans="14:14" ht="14">
      <c r="N512" s="2"/>
    </row>
    <row r="513" spans="14:14" ht="14">
      <c r="N513" s="2"/>
    </row>
    <row r="514" spans="14:14" ht="14">
      <c r="N514" s="2"/>
    </row>
    <row r="515" spans="14:14" ht="14">
      <c r="N515" s="2"/>
    </row>
    <row r="516" spans="14:14" ht="14">
      <c r="N516" s="2"/>
    </row>
    <row r="517" spans="14:14" ht="14">
      <c r="N517" s="2"/>
    </row>
    <row r="518" spans="14:14" ht="14">
      <c r="N518" s="2"/>
    </row>
    <row r="519" spans="14:14" ht="14">
      <c r="N519" s="2"/>
    </row>
    <row r="520" spans="14:14" ht="14">
      <c r="N520" s="2"/>
    </row>
    <row r="521" spans="14:14" ht="14">
      <c r="N521" s="2"/>
    </row>
    <row r="522" spans="14:14" ht="14">
      <c r="N522" s="2"/>
    </row>
    <row r="523" spans="14:14" ht="14">
      <c r="N523" s="2"/>
    </row>
    <row r="524" spans="14:14" ht="14">
      <c r="N524" s="2"/>
    </row>
    <row r="525" spans="14:14" ht="14">
      <c r="N525" s="2"/>
    </row>
    <row r="526" spans="14:14" ht="14">
      <c r="N526" s="2"/>
    </row>
    <row r="527" spans="14:14" ht="14">
      <c r="N527" s="2"/>
    </row>
    <row r="528" spans="14:14" ht="14">
      <c r="N528" s="2"/>
    </row>
    <row r="529" spans="14:14" ht="14">
      <c r="N529" s="2"/>
    </row>
    <row r="530" spans="14:14" ht="14">
      <c r="N530" s="2"/>
    </row>
    <row r="531" spans="14:14" ht="14">
      <c r="N531" s="2"/>
    </row>
    <row r="532" spans="14:14" ht="14">
      <c r="N532" s="2"/>
    </row>
    <row r="533" spans="14:14" ht="14">
      <c r="N533" s="2"/>
    </row>
    <row r="534" spans="14:14" ht="14">
      <c r="N534" s="2"/>
    </row>
    <row r="535" spans="14:14" ht="14">
      <c r="N535" s="2"/>
    </row>
    <row r="536" spans="14:14" ht="14">
      <c r="N536" s="2"/>
    </row>
    <row r="537" spans="14:14" ht="14">
      <c r="N537" s="2"/>
    </row>
    <row r="538" spans="14:14" ht="14">
      <c r="N538" s="2"/>
    </row>
    <row r="539" spans="14:14" ht="14">
      <c r="N539" s="2"/>
    </row>
    <row r="540" spans="14:14" ht="14">
      <c r="N540" s="2"/>
    </row>
    <row r="541" spans="14:14" ht="14">
      <c r="N541" s="2"/>
    </row>
    <row r="542" spans="14:14" ht="14">
      <c r="N542" s="2"/>
    </row>
    <row r="543" spans="14:14" ht="14">
      <c r="N543" s="2"/>
    </row>
    <row r="544" spans="14:14" ht="14">
      <c r="N544" s="2"/>
    </row>
    <row r="545" spans="14:14" ht="14">
      <c r="N545" s="2"/>
    </row>
    <row r="546" spans="14:14" ht="14">
      <c r="N546" s="2"/>
    </row>
    <row r="547" spans="14:14" ht="14">
      <c r="N547" s="2"/>
    </row>
    <row r="548" spans="14:14" ht="14">
      <c r="N548" s="2"/>
    </row>
    <row r="549" spans="14:14" ht="14">
      <c r="N549" s="2"/>
    </row>
    <row r="550" spans="14:14" ht="14">
      <c r="N550" s="2"/>
    </row>
    <row r="551" spans="14:14" ht="14">
      <c r="N551" s="2"/>
    </row>
    <row r="552" spans="14:14" ht="14">
      <c r="N552" s="2"/>
    </row>
    <row r="553" spans="14:14" ht="14">
      <c r="N553" s="2"/>
    </row>
    <row r="554" spans="14:14" ht="14">
      <c r="N554" s="2"/>
    </row>
    <row r="555" spans="14:14" ht="14">
      <c r="N555" s="2"/>
    </row>
    <row r="556" spans="14:14" ht="14">
      <c r="N556" s="2"/>
    </row>
    <row r="557" spans="14:14" ht="14">
      <c r="N557" s="2"/>
    </row>
    <row r="558" spans="14:14" ht="14">
      <c r="N558" s="2"/>
    </row>
    <row r="559" spans="14:14" ht="14">
      <c r="N559" s="2"/>
    </row>
    <row r="560" spans="14:14" ht="14">
      <c r="N560" s="2"/>
    </row>
    <row r="561" spans="14:14" ht="14">
      <c r="N561" s="2"/>
    </row>
    <row r="562" spans="14:14" ht="14">
      <c r="N562" s="2"/>
    </row>
    <row r="563" spans="14:14" ht="14">
      <c r="N563" s="2"/>
    </row>
    <row r="564" spans="14:14" ht="14">
      <c r="N564" s="2"/>
    </row>
    <row r="565" spans="14:14" ht="14">
      <c r="N565" s="2"/>
    </row>
    <row r="566" spans="14:14" ht="14">
      <c r="N566" s="2"/>
    </row>
    <row r="567" spans="14:14" ht="14">
      <c r="N567" s="2"/>
    </row>
    <row r="568" spans="14:14" ht="14">
      <c r="N568" s="2"/>
    </row>
    <row r="569" spans="14:14" ht="14">
      <c r="N569" s="2"/>
    </row>
    <row r="570" spans="14:14" ht="14">
      <c r="N570" s="2"/>
    </row>
    <row r="571" spans="14:14" ht="14">
      <c r="N571" s="2"/>
    </row>
    <row r="572" spans="14:14" ht="14">
      <c r="N572" s="2"/>
    </row>
    <row r="573" spans="14:14" ht="14">
      <c r="N573" s="2"/>
    </row>
    <row r="574" spans="14:14" ht="14">
      <c r="N574" s="2"/>
    </row>
    <row r="575" spans="14:14" ht="14">
      <c r="N575" s="2"/>
    </row>
    <row r="576" spans="14:14" ht="14">
      <c r="N576" s="2"/>
    </row>
    <row r="577" spans="14:14" ht="14">
      <c r="N577" s="2"/>
    </row>
    <row r="578" spans="14:14" ht="14">
      <c r="N578" s="2"/>
    </row>
    <row r="579" spans="14:14" ht="14">
      <c r="N579" s="2"/>
    </row>
    <row r="580" spans="14:14" ht="14">
      <c r="N580" s="2"/>
    </row>
    <row r="581" spans="14:14" ht="14">
      <c r="N581" s="2"/>
    </row>
    <row r="582" spans="14:14" ht="14">
      <c r="N582" s="2"/>
    </row>
    <row r="583" spans="14:14" ht="14">
      <c r="N583" s="2"/>
    </row>
    <row r="584" spans="14:14" ht="14">
      <c r="N584" s="2"/>
    </row>
    <row r="585" spans="14:14" ht="14">
      <c r="N585" s="2"/>
    </row>
    <row r="586" spans="14:14" ht="14">
      <c r="N586" s="2"/>
    </row>
    <row r="587" spans="14:14" ht="14">
      <c r="N587" s="2"/>
    </row>
    <row r="588" spans="14:14" ht="14">
      <c r="N588" s="2"/>
    </row>
    <row r="589" spans="14:14" ht="14">
      <c r="N589" s="2"/>
    </row>
    <row r="590" spans="14:14" ht="14">
      <c r="N590" s="2"/>
    </row>
    <row r="591" spans="14:14" ht="14">
      <c r="N591" s="2"/>
    </row>
    <row r="592" spans="14:14" ht="14">
      <c r="N592" s="2"/>
    </row>
    <row r="593" spans="14:14" ht="14">
      <c r="N593" s="2"/>
    </row>
    <row r="594" spans="14:14" ht="14">
      <c r="N594" s="2"/>
    </row>
    <row r="595" spans="14:14" ht="14">
      <c r="N595" s="2"/>
    </row>
    <row r="596" spans="14:14" ht="14">
      <c r="N596" s="2"/>
    </row>
    <row r="597" spans="14:14" ht="14">
      <c r="N597" s="2"/>
    </row>
    <row r="598" spans="14:14" ht="14">
      <c r="N598" s="2"/>
    </row>
    <row r="599" spans="14:14" ht="14">
      <c r="N599" s="2"/>
    </row>
    <row r="600" spans="14:14" ht="14">
      <c r="N600" s="2"/>
    </row>
    <row r="601" spans="14:14" ht="14">
      <c r="N601" s="2"/>
    </row>
    <row r="602" spans="14:14" ht="14">
      <c r="N602" s="2"/>
    </row>
    <row r="603" spans="14:14" ht="14">
      <c r="N603" s="2"/>
    </row>
    <row r="604" spans="14:14" ht="14">
      <c r="N604" s="2"/>
    </row>
    <row r="605" spans="14:14" ht="14">
      <c r="N605" s="2"/>
    </row>
    <row r="606" spans="14:14" ht="14">
      <c r="N606" s="2"/>
    </row>
    <row r="607" spans="14:14" ht="14">
      <c r="N607" s="2"/>
    </row>
    <row r="608" spans="14:14" ht="14">
      <c r="N608" s="2"/>
    </row>
    <row r="609" spans="14:14" ht="14">
      <c r="N609" s="2"/>
    </row>
    <row r="610" spans="14:14" ht="14">
      <c r="N610" s="2"/>
    </row>
    <row r="611" spans="14:14" ht="14">
      <c r="N611" s="2"/>
    </row>
    <row r="612" spans="14:14" ht="14">
      <c r="N612" s="2"/>
    </row>
    <row r="613" spans="14:14" ht="14">
      <c r="N613" s="2"/>
    </row>
    <row r="614" spans="14:14" ht="14">
      <c r="N614" s="2"/>
    </row>
    <row r="615" spans="14:14" ht="14">
      <c r="N615" s="2"/>
    </row>
    <row r="616" spans="14:14" ht="14">
      <c r="N616" s="2"/>
    </row>
    <row r="617" spans="14:14" ht="14">
      <c r="N617" s="2"/>
    </row>
    <row r="618" spans="14:14" ht="14">
      <c r="N618" s="2"/>
    </row>
    <row r="619" spans="14:14" ht="14">
      <c r="N619" s="2"/>
    </row>
    <row r="620" spans="14:14" ht="14">
      <c r="N620" s="2"/>
    </row>
    <row r="621" spans="14:14" ht="14">
      <c r="N621" s="2"/>
    </row>
    <row r="622" spans="14:14" ht="14">
      <c r="N622" s="2"/>
    </row>
    <row r="623" spans="14:14" ht="14">
      <c r="N623" s="2"/>
    </row>
    <row r="624" spans="14:14" ht="14">
      <c r="N624" s="2"/>
    </row>
    <row r="625" spans="14:14" ht="14">
      <c r="N625" s="2"/>
    </row>
    <row r="626" spans="14:14" ht="14">
      <c r="N626" s="2"/>
    </row>
    <row r="627" spans="14:14" ht="14">
      <c r="N627" s="2"/>
    </row>
    <row r="628" spans="14:14" ht="14">
      <c r="N628" s="2"/>
    </row>
    <row r="629" spans="14:14" ht="14">
      <c r="N629" s="2"/>
    </row>
    <row r="630" spans="14:14" ht="14">
      <c r="N630" s="2"/>
    </row>
    <row r="631" spans="14:14" ht="14">
      <c r="N631" s="2"/>
    </row>
    <row r="632" spans="14:14" ht="14">
      <c r="N632" s="2"/>
    </row>
    <row r="633" spans="14:14" ht="14">
      <c r="N633" s="2"/>
    </row>
    <row r="634" spans="14:14" ht="14">
      <c r="N634" s="2"/>
    </row>
    <row r="635" spans="14:14" ht="14">
      <c r="N635" s="2"/>
    </row>
    <row r="636" spans="14:14" ht="14">
      <c r="N636" s="2"/>
    </row>
    <row r="637" spans="14:14" ht="14">
      <c r="N637" s="2"/>
    </row>
    <row r="638" spans="14:14" ht="14">
      <c r="N638" s="2"/>
    </row>
    <row r="639" spans="14:14" ht="14">
      <c r="N639" s="2"/>
    </row>
    <row r="640" spans="14:14" ht="14">
      <c r="N640" s="2"/>
    </row>
    <row r="641" spans="14:14" ht="14">
      <c r="N641" s="2"/>
    </row>
    <row r="642" spans="14:14" ht="14">
      <c r="N642" s="2"/>
    </row>
    <row r="643" spans="14:14" ht="14">
      <c r="N643" s="2"/>
    </row>
    <row r="644" spans="14:14" ht="14">
      <c r="N644" s="2"/>
    </row>
    <row r="645" spans="14:14" ht="14">
      <c r="N645" s="2"/>
    </row>
    <row r="646" spans="14:14" ht="14">
      <c r="N646" s="2"/>
    </row>
    <row r="647" spans="14:14" ht="14">
      <c r="N647" s="2"/>
    </row>
    <row r="648" spans="14:14" ht="14">
      <c r="N648" s="2"/>
    </row>
    <row r="649" spans="14:14" ht="14">
      <c r="N649" s="2"/>
    </row>
    <row r="650" spans="14:14" ht="14">
      <c r="N650" s="2"/>
    </row>
    <row r="651" spans="14:14" ht="14">
      <c r="N651" s="2"/>
    </row>
    <row r="652" spans="14:14" ht="14">
      <c r="N652" s="2"/>
    </row>
    <row r="653" spans="14:14" ht="14">
      <c r="N653" s="2"/>
    </row>
    <row r="654" spans="14:14" ht="14">
      <c r="N654" s="2"/>
    </row>
    <row r="655" spans="14:14" ht="14">
      <c r="N655" s="2"/>
    </row>
    <row r="656" spans="14:14" ht="14">
      <c r="N656" s="2"/>
    </row>
    <row r="657" spans="14:14" ht="14">
      <c r="N657" s="2"/>
    </row>
    <row r="658" spans="14:14" ht="14">
      <c r="N658" s="2"/>
    </row>
    <row r="659" spans="14:14" ht="14">
      <c r="N659" s="2"/>
    </row>
    <row r="660" spans="14:14" ht="14">
      <c r="N660" s="2"/>
    </row>
    <row r="661" spans="14:14" ht="14">
      <c r="N661" s="2"/>
    </row>
    <row r="662" spans="14:14" ht="14">
      <c r="N662" s="2"/>
    </row>
    <row r="663" spans="14:14" ht="14">
      <c r="N663" s="2"/>
    </row>
    <row r="664" spans="14:14" ht="14">
      <c r="N664" s="2"/>
    </row>
    <row r="665" spans="14:14" ht="14">
      <c r="N665" s="2"/>
    </row>
    <row r="666" spans="14:14" ht="14">
      <c r="N666" s="2"/>
    </row>
    <row r="667" spans="14:14" ht="14">
      <c r="N667" s="2"/>
    </row>
    <row r="668" spans="14:14" ht="14">
      <c r="N668" s="2"/>
    </row>
    <row r="669" spans="14:14" ht="14">
      <c r="N669" s="2"/>
    </row>
    <row r="670" spans="14:14" ht="14">
      <c r="N670" s="2"/>
    </row>
    <row r="671" spans="14:14" ht="14">
      <c r="N671" s="2"/>
    </row>
    <row r="672" spans="14:14" ht="14">
      <c r="N672" s="2"/>
    </row>
    <row r="673" spans="14:14" ht="14">
      <c r="N673" s="2"/>
    </row>
    <row r="674" spans="14:14" ht="14">
      <c r="N674" s="2"/>
    </row>
    <row r="675" spans="14:14" ht="14">
      <c r="N675" s="2"/>
    </row>
    <row r="676" spans="14:14" ht="14">
      <c r="N676" s="2"/>
    </row>
    <row r="677" spans="14:14" ht="14">
      <c r="N677" s="2"/>
    </row>
    <row r="678" spans="14:14" ht="14">
      <c r="N678" s="2"/>
    </row>
    <row r="679" spans="14:14" ht="14">
      <c r="N679" s="2"/>
    </row>
    <row r="680" spans="14:14" ht="14">
      <c r="N680" s="2"/>
    </row>
    <row r="681" spans="14:14" ht="14">
      <c r="N681" s="2"/>
    </row>
    <row r="682" spans="14:14" ht="14">
      <c r="N682" s="2"/>
    </row>
    <row r="683" spans="14:14" ht="14">
      <c r="N683" s="2"/>
    </row>
    <row r="684" spans="14:14" ht="14">
      <c r="N684" s="2"/>
    </row>
    <row r="685" spans="14:14" ht="14">
      <c r="N685" s="2"/>
    </row>
    <row r="686" spans="14:14" ht="14">
      <c r="N686" s="2"/>
    </row>
    <row r="687" spans="14:14" ht="14">
      <c r="N687" s="2"/>
    </row>
    <row r="688" spans="14:14" ht="14">
      <c r="N688" s="2"/>
    </row>
    <row r="689" spans="14:14" ht="14">
      <c r="N689" s="2"/>
    </row>
    <row r="690" spans="14:14" ht="14">
      <c r="N690" s="2"/>
    </row>
    <row r="691" spans="14:14" ht="14">
      <c r="N691" s="2"/>
    </row>
    <row r="692" spans="14:14" ht="14">
      <c r="N692" s="2"/>
    </row>
    <row r="693" spans="14:14" ht="14">
      <c r="N693" s="2"/>
    </row>
    <row r="694" spans="14:14" ht="14">
      <c r="N694" s="2"/>
    </row>
    <row r="695" spans="14:14" ht="14">
      <c r="N695" s="2"/>
    </row>
    <row r="696" spans="14:14" ht="14">
      <c r="N696" s="2"/>
    </row>
    <row r="697" spans="14:14" ht="14">
      <c r="N697" s="2"/>
    </row>
    <row r="698" spans="14:14" ht="14">
      <c r="N698" s="2"/>
    </row>
    <row r="699" spans="14:14" ht="14">
      <c r="N699" s="2"/>
    </row>
    <row r="700" spans="14:14" ht="14">
      <c r="N700" s="2"/>
    </row>
    <row r="701" spans="14:14" ht="14">
      <c r="N701" s="2"/>
    </row>
    <row r="702" spans="14:14" ht="14">
      <c r="N702" s="2"/>
    </row>
    <row r="703" spans="14:14" ht="14">
      <c r="N703" s="2"/>
    </row>
    <row r="704" spans="14:14" ht="14">
      <c r="N704" s="2"/>
    </row>
    <row r="705" spans="14:14" ht="14">
      <c r="N705" s="2"/>
    </row>
    <row r="706" spans="14:14" ht="14">
      <c r="N706" s="2"/>
    </row>
    <row r="707" spans="14:14" ht="14">
      <c r="N707" s="2"/>
    </row>
    <row r="708" spans="14:14" ht="14">
      <c r="N708" s="2"/>
    </row>
    <row r="709" spans="14:14" ht="14">
      <c r="N709" s="2"/>
    </row>
    <row r="710" spans="14:14" ht="14">
      <c r="N710" s="2"/>
    </row>
    <row r="711" spans="14:14" ht="14">
      <c r="N711" s="2"/>
    </row>
    <row r="712" spans="14:14" ht="14">
      <c r="N712" s="2"/>
    </row>
    <row r="713" spans="14:14" ht="14">
      <c r="N713" s="2"/>
    </row>
    <row r="714" spans="14:14" ht="14">
      <c r="N714" s="2"/>
    </row>
    <row r="715" spans="14:14" ht="14">
      <c r="N715" s="2"/>
    </row>
    <row r="716" spans="14:14" ht="14">
      <c r="N716" s="2"/>
    </row>
    <row r="717" spans="14:14" ht="14">
      <c r="N717" s="2"/>
    </row>
    <row r="718" spans="14:14" ht="14">
      <c r="N718" s="2"/>
    </row>
    <row r="719" spans="14:14" ht="14">
      <c r="N719" s="2"/>
    </row>
    <row r="720" spans="14:14" ht="14">
      <c r="N720" s="2"/>
    </row>
    <row r="721" spans="14:14" ht="14">
      <c r="N721" s="2"/>
    </row>
    <row r="722" spans="14:14" ht="14">
      <c r="N722" s="2"/>
    </row>
    <row r="723" spans="14:14" ht="14">
      <c r="N723" s="2"/>
    </row>
    <row r="724" spans="14:14" ht="14">
      <c r="N724" s="2"/>
    </row>
    <row r="725" spans="14:14" ht="14">
      <c r="N725" s="2"/>
    </row>
    <row r="726" spans="14:14" ht="14">
      <c r="N726" s="2"/>
    </row>
    <row r="727" spans="14:14" ht="14">
      <c r="N727" s="2"/>
    </row>
    <row r="728" spans="14:14" ht="14">
      <c r="N728" s="2"/>
    </row>
    <row r="729" spans="14:14" ht="14">
      <c r="N729" s="2"/>
    </row>
    <row r="730" spans="14:14" ht="14">
      <c r="N730" s="2"/>
    </row>
    <row r="731" spans="14:14" ht="14">
      <c r="N731" s="2"/>
    </row>
    <row r="732" spans="14:14" ht="14">
      <c r="N732" s="2"/>
    </row>
    <row r="733" spans="14:14" ht="14">
      <c r="N733" s="2"/>
    </row>
    <row r="734" spans="14:14" ht="14">
      <c r="N734" s="2"/>
    </row>
    <row r="735" spans="14:14" ht="14">
      <c r="N735" s="2"/>
    </row>
    <row r="736" spans="14:14" ht="14">
      <c r="N736" s="2"/>
    </row>
    <row r="737" spans="14:14" ht="14">
      <c r="N737" s="2"/>
    </row>
    <row r="738" spans="14:14" ht="14">
      <c r="N738" s="2"/>
    </row>
    <row r="739" spans="14:14" ht="14">
      <c r="N739" s="2"/>
    </row>
    <row r="740" spans="14:14" ht="14">
      <c r="N740" s="2"/>
    </row>
    <row r="741" spans="14:14" ht="14">
      <c r="N741" s="2"/>
    </row>
    <row r="742" spans="14:14" ht="14">
      <c r="N742" s="2"/>
    </row>
    <row r="743" spans="14:14" ht="14">
      <c r="N743" s="2"/>
    </row>
    <row r="744" spans="14:14" ht="14">
      <c r="N744" s="2"/>
    </row>
    <row r="745" spans="14:14" ht="14">
      <c r="N745" s="2"/>
    </row>
    <row r="746" spans="14:14" ht="14">
      <c r="N746" s="2"/>
    </row>
    <row r="747" spans="14:14" ht="14">
      <c r="N747" s="2"/>
    </row>
    <row r="748" spans="14:14" ht="14">
      <c r="N748" s="2"/>
    </row>
    <row r="749" spans="14:14" ht="14">
      <c r="N749" s="2"/>
    </row>
    <row r="750" spans="14:14" ht="14">
      <c r="N750" s="2"/>
    </row>
    <row r="751" spans="14:14" ht="14">
      <c r="N751" s="2"/>
    </row>
    <row r="752" spans="14:14" ht="14">
      <c r="N752" s="2"/>
    </row>
    <row r="753" spans="14:14" ht="14">
      <c r="N753" s="2"/>
    </row>
    <row r="754" spans="14:14" ht="14">
      <c r="N754" s="2"/>
    </row>
    <row r="755" spans="14:14" ht="14">
      <c r="N755" s="2"/>
    </row>
    <row r="756" spans="14:14" ht="14">
      <c r="N756" s="2"/>
    </row>
    <row r="757" spans="14:14" ht="14">
      <c r="N757" s="2"/>
    </row>
    <row r="758" spans="14:14" ht="14">
      <c r="N758" s="2"/>
    </row>
    <row r="759" spans="14:14" ht="14">
      <c r="N759" s="2"/>
    </row>
    <row r="760" spans="14:14" ht="14">
      <c r="N760" s="2"/>
    </row>
    <row r="761" spans="14:14" ht="14">
      <c r="N761" s="2"/>
    </row>
    <row r="762" spans="14:14" ht="14">
      <c r="N762" s="2"/>
    </row>
    <row r="763" spans="14:14" ht="14">
      <c r="N763" s="2"/>
    </row>
    <row r="764" spans="14:14" ht="14">
      <c r="N764" s="2"/>
    </row>
    <row r="765" spans="14:14" ht="14">
      <c r="N765" s="2"/>
    </row>
    <row r="766" spans="14:14" ht="14">
      <c r="N766" s="2"/>
    </row>
    <row r="767" spans="14:14" ht="14">
      <c r="N767" s="2"/>
    </row>
    <row r="768" spans="14:14" ht="14">
      <c r="N768" s="2"/>
    </row>
    <row r="769" spans="14:14" ht="14">
      <c r="N769" s="2"/>
    </row>
    <row r="770" spans="14:14" ht="14">
      <c r="N770" s="2"/>
    </row>
    <row r="771" spans="14:14" ht="14">
      <c r="N771" s="2"/>
    </row>
    <row r="772" spans="14:14" ht="14">
      <c r="N772" s="2"/>
    </row>
    <row r="773" spans="14:14" ht="14">
      <c r="N773" s="2"/>
    </row>
    <row r="774" spans="14:14" ht="14">
      <c r="N774" s="2"/>
    </row>
    <row r="775" spans="14:14" ht="14">
      <c r="N775" s="2"/>
    </row>
    <row r="776" spans="14:14" ht="14">
      <c r="N776" s="2"/>
    </row>
    <row r="777" spans="14:14" ht="14">
      <c r="N777" s="2"/>
    </row>
    <row r="778" spans="14:14" ht="14">
      <c r="N778" s="2"/>
    </row>
    <row r="779" spans="14:14" ht="14">
      <c r="N779" s="2"/>
    </row>
    <row r="780" spans="14:14" ht="14">
      <c r="N780" s="2"/>
    </row>
    <row r="781" spans="14:14" ht="14">
      <c r="N781" s="2"/>
    </row>
    <row r="782" spans="14:14" ht="14">
      <c r="N782" s="2"/>
    </row>
    <row r="783" spans="14:14" ht="14">
      <c r="N783" s="2"/>
    </row>
    <row r="784" spans="14:14" ht="14">
      <c r="N784" s="2"/>
    </row>
    <row r="785" spans="14:14" ht="14">
      <c r="N785" s="2"/>
    </row>
    <row r="786" spans="14:14" ht="14">
      <c r="N786" s="2"/>
    </row>
    <row r="787" spans="14:14" ht="14">
      <c r="N787" s="2"/>
    </row>
    <row r="788" spans="14:14" ht="14">
      <c r="N788" s="2"/>
    </row>
    <row r="789" spans="14:14" ht="14">
      <c r="N789" s="2"/>
    </row>
    <row r="790" spans="14:14" ht="14">
      <c r="N790" s="2"/>
    </row>
    <row r="791" spans="14:14" ht="14">
      <c r="N791" s="2"/>
    </row>
    <row r="792" spans="14:14" ht="14">
      <c r="N792" s="2"/>
    </row>
    <row r="793" spans="14:14" ht="14">
      <c r="N793" s="2"/>
    </row>
    <row r="794" spans="14:14" ht="14">
      <c r="N794" s="2"/>
    </row>
    <row r="795" spans="14:14" ht="14">
      <c r="N795" s="2"/>
    </row>
    <row r="796" spans="14:14" ht="14">
      <c r="N796" s="2"/>
    </row>
    <row r="797" spans="14:14" ht="14">
      <c r="N797" s="2"/>
    </row>
    <row r="798" spans="14:14" ht="14">
      <c r="N798" s="2"/>
    </row>
    <row r="799" spans="14:14" ht="14">
      <c r="N799" s="2"/>
    </row>
    <row r="800" spans="14:14" ht="14">
      <c r="N800" s="2"/>
    </row>
    <row r="801" spans="14:14" ht="14">
      <c r="N801" s="2"/>
    </row>
    <row r="802" spans="14:14" ht="14">
      <c r="N802" s="2"/>
    </row>
    <row r="803" spans="14:14" ht="14">
      <c r="N803" s="2"/>
    </row>
    <row r="804" spans="14:14" ht="14">
      <c r="N804" s="2"/>
    </row>
    <row r="805" spans="14:14" ht="14">
      <c r="N805" s="2"/>
    </row>
    <row r="806" spans="14:14" ht="14">
      <c r="N806" s="2"/>
    </row>
    <row r="807" spans="14:14" ht="14">
      <c r="N807" s="2"/>
    </row>
    <row r="808" spans="14:14" ht="14">
      <c r="N808" s="2"/>
    </row>
    <row r="809" spans="14:14" ht="14">
      <c r="N809" s="2"/>
    </row>
    <row r="810" spans="14:14" ht="14">
      <c r="N810" s="2"/>
    </row>
    <row r="811" spans="14:14" ht="14">
      <c r="N811" s="2"/>
    </row>
    <row r="812" spans="14:14" ht="14">
      <c r="N812" s="2"/>
    </row>
    <row r="813" spans="14:14" ht="14">
      <c r="N813" s="2"/>
    </row>
    <row r="814" spans="14:14" ht="14">
      <c r="N814" s="2"/>
    </row>
    <row r="815" spans="14:14" ht="14">
      <c r="N815" s="2"/>
    </row>
    <row r="816" spans="14:14" ht="14">
      <c r="N816" s="2"/>
    </row>
    <row r="817" spans="14:14" ht="14">
      <c r="N817" s="2"/>
    </row>
    <row r="818" spans="14:14" ht="14">
      <c r="N818" s="2"/>
    </row>
    <row r="819" spans="14:14" ht="14">
      <c r="N819" s="2"/>
    </row>
    <row r="820" spans="14:14" ht="14">
      <c r="N820" s="2"/>
    </row>
    <row r="821" spans="14:14" ht="14">
      <c r="N821" s="2"/>
    </row>
    <row r="822" spans="14:14" ht="14">
      <c r="N822" s="2"/>
    </row>
    <row r="823" spans="14:14" ht="14">
      <c r="N823" s="2"/>
    </row>
    <row r="824" spans="14:14" ht="14">
      <c r="N824" s="2"/>
    </row>
    <row r="825" spans="14:14" ht="14">
      <c r="N825" s="2"/>
    </row>
    <row r="826" spans="14:14" ht="14">
      <c r="N826" s="2"/>
    </row>
    <row r="827" spans="14:14" ht="14">
      <c r="N827" s="2"/>
    </row>
    <row r="828" spans="14:14" ht="14">
      <c r="N828" s="2"/>
    </row>
    <row r="829" spans="14:14" ht="14">
      <c r="N829" s="2"/>
    </row>
    <row r="830" spans="14:14" ht="14">
      <c r="N830" s="2"/>
    </row>
    <row r="831" spans="14:14" ht="14">
      <c r="N831" s="2"/>
    </row>
    <row r="832" spans="14:14" ht="14">
      <c r="N832" s="2"/>
    </row>
    <row r="833" spans="14:14" ht="14">
      <c r="N833" s="2"/>
    </row>
    <row r="834" spans="14:14" ht="14">
      <c r="N834" s="2"/>
    </row>
    <row r="835" spans="14:14" ht="14">
      <c r="N835" s="2"/>
    </row>
    <row r="836" spans="14:14" ht="14">
      <c r="N836" s="2"/>
    </row>
    <row r="837" spans="14:14" ht="14">
      <c r="N837" s="2"/>
    </row>
    <row r="838" spans="14:14" ht="14">
      <c r="N838" s="2"/>
    </row>
    <row r="839" spans="14:14" ht="14">
      <c r="N839" s="2"/>
    </row>
    <row r="840" spans="14:14" ht="14">
      <c r="N840" s="2"/>
    </row>
    <row r="841" spans="14:14" ht="14">
      <c r="N841" s="2"/>
    </row>
    <row r="842" spans="14:14" ht="14">
      <c r="N842" s="2"/>
    </row>
    <row r="843" spans="14:14" ht="14">
      <c r="N843" s="2"/>
    </row>
    <row r="844" spans="14:14" ht="14">
      <c r="N844" s="2"/>
    </row>
    <row r="845" spans="14:14" ht="14">
      <c r="N845" s="2"/>
    </row>
    <row r="846" spans="14:14" ht="14">
      <c r="N846" s="2"/>
    </row>
    <row r="847" spans="14:14" ht="14">
      <c r="N847" s="2"/>
    </row>
    <row r="848" spans="14:14" ht="14">
      <c r="N848" s="2"/>
    </row>
    <row r="849" spans="14:14" ht="14">
      <c r="N849" s="2"/>
    </row>
    <row r="850" spans="14:14" ht="14">
      <c r="N850" s="2"/>
    </row>
    <row r="851" spans="14:14" ht="14">
      <c r="N851" s="2"/>
    </row>
    <row r="852" spans="14:14" ht="14">
      <c r="N852" s="2"/>
    </row>
    <row r="853" spans="14:14" ht="14">
      <c r="N853" s="2"/>
    </row>
    <row r="854" spans="14:14" ht="14">
      <c r="N854" s="2"/>
    </row>
    <row r="855" spans="14:14" ht="14">
      <c r="N855" s="2"/>
    </row>
    <row r="856" spans="14:14" ht="14">
      <c r="N856" s="2"/>
    </row>
    <row r="857" spans="14:14" ht="14">
      <c r="N857" s="2"/>
    </row>
    <row r="858" spans="14:14" ht="14">
      <c r="N858" s="2"/>
    </row>
    <row r="859" spans="14:14" ht="14">
      <c r="N859" s="2"/>
    </row>
    <row r="860" spans="14:14" ht="14">
      <c r="N860" s="2"/>
    </row>
    <row r="861" spans="14:14" ht="14">
      <c r="N861" s="2"/>
    </row>
    <row r="862" spans="14:14" ht="14">
      <c r="N862" s="2"/>
    </row>
    <row r="863" spans="14:14" ht="14">
      <c r="N863" s="2"/>
    </row>
    <row r="864" spans="14:14" ht="14">
      <c r="N864" s="2"/>
    </row>
    <row r="865" spans="14:14" ht="14">
      <c r="N865" s="2"/>
    </row>
    <row r="866" spans="14:14" ht="14">
      <c r="N866" s="2"/>
    </row>
    <row r="867" spans="14:14" ht="14">
      <c r="N867" s="2"/>
    </row>
    <row r="868" spans="14:14" ht="14">
      <c r="N868" s="2"/>
    </row>
    <row r="869" spans="14:14" ht="14">
      <c r="N869" s="2"/>
    </row>
    <row r="870" spans="14:14" ht="14">
      <c r="N870" s="2"/>
    </row>
    <row r="871" spans="14:14" ht="14">
      <c r="N871" s="2"/>
    </row>
    <row r="872" spans="14:14" ht="14">
      <c r="N872" s="2"/>
    </row>
    <row r="873" spans="14:14" ht="14">
      <c r="N873" s="2"/>
    </row>
    <row r="874" spans="14:14" ht="14">
      <c r="N874" s="2"/>
    </row>
    <row r="875" spans="14:14" ht="14">
      <c r="N875" s="2"/>
    </row>
    <row r="876" spans="14:14" ht="14">
      <c r="N876" s="2"/>
    </row>
    <row r="877" spans="14:14" ht="14">
      <c r="N877" s="2"/>
    </row>
    <row r="878" spans="14:14" ht="14">
      <c r="N878" s="2"/>
    </row>
    <row r="879" spans="14:14" ht="14">
      <c r="N879" s="2"/>
    </row>
    <row r="880" spans="14:14" ht="14">
      <c r="N880" s="2"/>
    </row>
    <row r="881" spans="14:14" ht="14">
      <c r="N881" s="2"/>
    </row>
    <row r="882" spans="14:14" ht="14">
      <c r="N882" s="2"/>
    </row>
    <row r="883" spans="14:14" ht="14">
      <c r="N883" s="2"/>
    </row>
    <row r="884" spans="14:14" ht="14">
      <c r="N884" s="2"/>
    </row>
    <row r="885" spans="14:14" ht="14">
      <c r="N885" s="2"/>
    </row>
    <row r="886" spans="14:14" ht="14">
      <c r="N886" s="2"/>
    </row>
    <row r="887" spans="14:14" ht="14">
      <c r="N887" s="2"/>
    </row>
    <row r="888" spans="14:14" ht="14">
      <c r="N888" s="2"/>
    </row>
    <row r="889" spans="14:14" ht="14">
      <c r="N889" s="2"/>
    </row>
    <row r="890" spans="14:14" ht="14">
      <c r="N890" s="2"/>
    </row>
    <row r="891" spans="14:14" ht="14">
      <c r="N891" s="2"/>
    </row>
    <row r="892" spans="14:14" ht="14">
      <c r="N892" s="2"/>
    </row>
    <row r="893" spans="14:14" ht="14">
      <c r="N893" s="2"/>
    </row>
    <row r="894" spans="14:14" ht="14">
      <c r="N894" s="2"/>
    </row>
    <row r="895" spans="14:14" ht="14">
      <c r="N895" s="2"/>
    </row>
    <row r="896" spans="14:14" ht="14">
      <c r="N896" s="2"/>
    </row>
    <row r="897" spans="14:14" ht="14">
      <c r="N897" s="2"/>
    </row>
    <row r="898" spans="14:14" ht="14">
      <c r="N898" s="2"/>
    </row>
    <row r="899" spans="14:14" ht="14">
      <c r="N899" s="2"/>
    </row>
    <row r="900" spans="14:14" ht="14">
      <c r="N900" s="2"/>
    </row>
    <row r="901" spans="14:14" ht="14">
      <c r="N901" s="2"/>
    </row>
    <row r="902" spans="14:14" ht="14">
      <c r="N902" s="2"/>
    </row>
    <row r="903" spans="14:14" ht="14">
      <c r="N903" s="2"/>
    </row>
    <row r="904" spans="14:14" ht="14">
      <c r="N904" s="2"/>
    </row>
    <row r="905" spans="14:14" ht="14">
      <c r="N905" s="2"/>
    </row>
    <row r="906" spans="14:14" ht="14">
      <c r="N906" s="2"/>
    </row>
    <row r="907" spans="14:14" ht="14">
      <c r="N907" s="2"/>
    </row>
    <row r="908" spans="14:14" ht="14">
      <c r="N908" s="2"/>
    </row>
    <row r="909" spans="14:14" ht="14">
      <c r="N909" s="2"/>
    </row>
    <row r="910" spans="14:14" ht="14">
      <c r="N910" s="2"/>
    </row>
    <row r="911" spans="14:14" ht="14">
      <c r="N911" s="2"/>
    </row>
    <row r="912" spans="14:14" ht="14">
      <c r="N912" s="2"/>
    </row>
    <row r="913" spans="14:14" ht="14">
      <c r="N913" s="2"/>
    </row>
    <row r="914" spans="14:14" ht="14">
      <c r="N914" s="2"/>
    </row>
    <row r="915" spans="14:14" ht="14">
      <c r="N915" s="2"/>
    </row>
    <row r="916" spans="14:14" ht="14">
      <c r="N916" s="2"/>
    </row>
    <row r="917" spans="14:14" ht="14">
      <c r="N917" s="2"/>
    </row>
    <row r="918" spans="14:14" ht="14">
      <c r="N918" s="2"/>
    </row>
    <row r="919" spans="14:14" ht="14">
      <c r="N919" s="2"/>
    </row>
    <row r="920" spans="14:14" ht="14">
      <c r="N920" s="2"/>
    </row>
    <row r="921" spans="14:14" ht="14">
      <c r="N921" s="2"/>
    </row>
    <row r="922" spans="14:14" ht="14">
      <c r="N922" s="2"/>
    </row>
    <row r="923" spans="14:14" ht="14">
      <c r="N923" s="2"/>
    </row>
    <row r="924" spans="14:14" ht="14">
      <c r="N924" s="2"/>
    </row>
    <row r="925" spans="14:14" ht="14">
      <c r="N925" s="2"/>
    </row>
    <row r="926" spans="14:14" ht="14">
      <c r="N926" s="2"/>
    </row>
    <row r="927" spans="14:14" ht="14">
      <c r="N927" s="2"/>
    </row>
    <row r="928" spans="14:14" ht="14">
      <c r="N928" s="2"/>
    </row>
    <row r="929" spans="14:14" ht="14">
      <c r="N929" s="2"/>
    </row>
    <row r="930" spans="14:14" ht="14">
      <c r="N930" s="2"/>
    </row>
    <row r="931" spans="14:14" ht="14">
      <c r="N931" s="2"/>
    </row>
    <row r="932" spans="14:14" ht="14">
      <c r="N932" s="2"/>
    </row>
    <row r="933" spans="14:14" ht="14">
      <c r="N933" s="2"/>
    </row>
    <row r="934" spans="14:14" ht="14">
      <c r="N934" s="2"/>
    </row>
    <row r="935" spans="14:14" ht="14">
      <c r="N935" s="2"/>
    </row>
    <row r="936" spans="14:14" ht="14">
      <c r="N936" s="2"/>
    </row>
    <row r="937" spans="14:14" ht="14">
      <c r="N937" s="2"/>
    </row>
    <row r="938" spans="14:14" ht="14">
      <c r="N938" s="2"/>
    </row>
    <row r="939" spans="14:14" ht="14">
      <c r="N939" s="2"/>
    </row>
    <row r="940" spans="14:14" ht="14">
      <c r="N940" s="2"/>
    </row>
    <row r="941" spans="14:14" ht="14">
      <c r="N941" s="2"/>
    </row>
    <row r="942" spans="14:14" ht="14">
      <c r="N942" s="2"/>
    </row>
    <row r="943" spans="14:14" ht="14">
      <c r="N943" s="2"/>
    </row>
    <row r="944" spans="14:14" ht="14">
      <c r="N944" s="2"/>
    </row>
    <row r="945" spans="14:14" ht="14">
      <c r="N945" s="2"/>
    </row>
    <row r="946" spans="14:14" ht="14">
      <c r="N946" s="2"/>
    </row>
    <row r="947" spans="14:14" ht="14">
      <c r="N947" s="2"/>
    </row>
    <row r="948" spans="14:14" ht="14">
      <c r="N948" s="2"/>
    </row>
    <row r="949" spans="14:14" ht="14">
      <c r="N949" s="2"/>
    </row>
    <row r="950" spans="14:14" ht="14">
      <c r="N950" s="2"/>
    </row>
    <row r="951" spans="14:14" ht="14">
      <c r="N951" s="2"/>
    </row>
    <row r="952" spans="14:14" ht="14">
      <c r="N952" s="2"/>
    </row>
    <row r="953" spans="14:14" ht="14">
      <c r="N953" s="2"/>
    </row>
    <row r="954" spans="14:14" ht="14">
      <c r="N954" s="2"/>
    </row>
    <row r="955" spans="14:14" ht="14">
      <c r="N955" s="2"/>
    </row>
    <row r="956" spans="14:14" ht="14">
      <c r="N956" s="2"/>
    </row>
    <row r="957" spans="14:14" ht="14">
      <c r="N957" s="2"/>
    </row>
    <row r="958" spans="14:14" ht="14">
      <c r="N958" s="2"/>
    </row>
    <row r="959" spans="14:14" ht="14">
      <c r="N959" s="2"/>
    </row>
    <row r="960" spans="14:14" ht="14">
      <c r="N960" s="2"/>
    </row>
    <row r="961" spans="14:14" ht="14">
      <c r="N961" s="2"/>
    </row>
    <row r="962" spans="14:14" ht="14">
      <c r="N962" s="2"/>
    </row>
    <row r="963" spans="14:14" ht="14">
      <c r="N963" s="2"/>
    </row>
    <row r="964" spans="14:14" ht="14">
      <c r="N964" s="2"/>
    </row>
    <row r="965" spans="14:14" ht="14">
      <c r="N965" s="2"/>
    </row>
    <row r="966" spans="14:14" ht="14">
      <c r="N966" s="2"/>
    </row>
    <row r="967" spans="14:14" ht="14">
      <c r="N967" s="2"/>
    </row>
    <row r="968" spans="14:14" ht="14">
      <c r="N968" s="2"/>
    </row>
    <row r="969" spans="14:14" ht="14">
      <c r="N969" s="2"/>
    </row>
    <row r="970" spans="14:14" ht="14">
      <c r="N970" s="2"/>
    </row>
    <row r="971" spans="14:14" ht="14">
      <c r="N971" s="2"/>
    </row>
    <row r="972" spans="14:14" ht="14">
      <c r="N972" s="2"/>
    </row>
    <row r="973" spans="14:14" ht="14">
      <c r="N973" s="2"/>
    </row>
    <row r="974" spans="14:14" ht="14">
      <c r="N974" s="2"/>
    </row>
    <row r="975" spans="14:14" ht="14">
      <c r="N975" s="2"/>
    </row>
    <row r="976" spans="14:14" ht="14">
      <c r="N976" s="2"/>
    </row>
    <row r="977" spans="14:14" ht="14">
      <c r="N977" s="2"/>
    </row>
    <row r="978" spans="14:14" ht="14">
      <c r="N978" s="2"/>
    </row>
    <row r="979" spans="14:14" ht="14">
      <c r="N979" s="2"/>
    </row>
    <row r="980" spans="14:14" ht="14">
      <c r="N980" s="2"/>
    </row>
    <row r="981" spans="14:14" ht="14">
      <c r="N981" s="2"/>
    </row>
    <row r="982" spans="14:14" ht="14">
      <c r="N982" s="2"/>
    </row>
    <row r="983" spans="14:14" ht="14">
      <c r="N983" s="2"/>
    </row>
    <row r="984" spans="14:14" ht="14">
      <c r="N984" s="2"/>
    </row>
    <row r="985" spans="14:14" ht="14">
      <c r="N985" s="2"/>
    </row>
    <row r="986" spans="14:14" ht="14">
      <c r="N986" s="2"/>
    </row>
    <row r="987" spans="14:14" ht="14">
      <c r="N987" s="2"/>
    </row>
    <row r="988" spans="14:14" ht="14">
      <c r="N988" s="2"/>
    </row>
    <row r="989" spans="14:14" ht="14">
      <c r="N989" s="2"/>
    </row>
    <row r="990" spans="14:14" ht="14">
      <c r="N990" s="2"/>
    </row>
    <row r="991" spans="14:14" ht="14">
      <c r="N991" s="2"/>
    </row>
    <row r="992" spans="14:14" ht="14">
      <c r="N992" s="2"/>
    </row>
    <row r="993" spans="14:14" ht="14">
      <c r="N993" s="2"/>
    </row>
    <row r="994" spans="14:14" ht="14">
      <c r="N994" s="2"/>
    </row>
    <row r="995" spans="14:14" ht="14">
      <c r="N995" s="2"/>
    </row>
    <row r="996" spans="14:14" ht="14">
      <c r="N996" s="2"/>
    </row>
    <row r="997" spans="14:14" ht="14">
      <c r="N997" s="2"/>
    </row>
    <row r="998" spans="14:14" ht="14">
      <c r="N998" s="2"/>
    </row>
    <row r="999" spans="14:14" ht="14">
      <c r="N999" s="2"/>
    </row>
    <row r="1000" spans="14:14" ht="14">
      <c r="N1000" s="2"/>
    </row>
  </sheetData>
  <mergeCells count="9">
    <mergeCell ref="AK10:AK13"/>
    <mergeCell ref="AL10:AL13"/>
    <mergeCell ref="A1:B1"/>
    <mergeCell ref="N1:O1"/>
    <mergeCell ref="Z1:AA1"/>
    <mergeCell ref="AK3:AK5"/>
    <mergeCell ref="AL3:AL5"/>
    <mergeCell ref="AK6:AK9"/>
    <mergeCell ref="AL6:AL9"/>
  </mergeCells>
  <phoneticPr fontId="21" type="noConversion"/>
  <conditionalFormatting sqref="A2:A15">
    <cfRule type="cellIs" dxfId="9" priority="1" operator="equal">
      <formula>"거절"</formula>
    </cfRule>
    <cfRule type="cellIs" dxfId="8" priority="2" operator="equal">
      <formula>"가부"</formula>
    </cfRule>
  </conditionalFormatting>
  <conditionalFormatting sqref="A3:A15">
    <cfRule type="cellIs" dxfId="7" priority="3" operator="equal">
      <formula>"계약완료"</formula>
    </cfRule>
  </conditionalFormatting>
  <conditionalFormatting sqref="G2:G15">
    <cfRule type="expression" dxfId="6" priority="4">
      <formula>COUNTIFS(G:G,G:G)&gt;1</formula>
    </cfRule>
  </conditionalFormatting>
  <conditionalFormatting sqref="N2:N33 N37:N1000">
    <cfRule type="expression" dxfId="5" priority="5">
      <formula>WEEKDAY(N:N)=7</formula>
    </cfRule>
    <cfRule type="expression" dxfId="4" priority="6">
      <formula>WEEKDAY(N:N)=1</formula>
    </cfRule>
  </conditionalFormatting>
  <conditionalFormatting sqref="O2:O33 N37 O37:O1000 P37:Q37 R34:X37">
    <cfRule type="colorScale" priority="7">
      <colorScale>
        <cfvo type="min"/>
        <cfvo type="max"/>
        <color rgb="FFFFFFFF"/>
        <color rgb="FFFFD966"/>
      </colorScale>
    </cfRule>
  </conditionalFormatting>
  <dataValidations count="2">
    <dataValidation type="list" allowBlank="1" showErrorMessage="1" sqref="K3:K15" xr:uid="{00000000-0002-0000-1300-000000000000}">
      <formula1>"김영사,박정민"</formula1>
    </dataValidation>
    <dataValidation type="list" allowBlank="1" showErrorMessage="1" sqref="A3:A15" xr:uid="{00000000-0002-0000-1300-000001000000}">
      <formula1>"가부,거절,계약완료,에이전시"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showGridLines="0" workbookViewId="0"/>
  </sheetViews>
  <sheetFormatPr baseColWidth="10" defaultColWidth="14.3984375" defaultRowHeight="15.75" customHeight="1"/>
  <cols>
    <col min="1" max="9" width="12.796875" customWidth="1"/>
    <col min="10" max="10" width="8" customWidth="1"/>
    <col min="11" max="11" width="5.796875" customWidth="1"/>
    <col min="12" max="27" width="12.796875" customWidth="1"/>
  </cols>
  <sheetData>
    <row r="1" spans="1:27" ht="14">
      <c r="A1" s="7"/>
      <c r="B1" s="66"/>
      <c r="C1" s="7"/>
      <c r="D1" s="7"/>
      <c r="E1" s="7"/>
      <c r="F1" s="7"/>
      <c r="G1" s="7"/>
      <c r="H1" s="7"/>
      <c r="I1" s="7"/>
      <c r="J1" s="7"/>
      <c r="K1" s="7"/>
      <c r="L1" s="6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5.5" customHeight="1">
      <c r="A2" s="68"/>
      <c r="B2" s="69" t="s">
        <v>526</v>
      </c>
      <c r="C2" s="67"/>
      <c r="D2" s="70" t="s">
        <v>527</v>
      </c>
      <c r="E2" s="71" t="s">
        <v>528</v>
      </c>
      <c r="F2" s="72"/>
      <c r="G2" s="72"/>
      <c r="H2" s="70" t="s">
        <v>529</v>
      </c>
      <c r="I2" s="67"/>
      <c r="J2" s="7"/>
      <c r="K2" s="73"/>
      <c r="L2" s="74" t="s">
        <v>530</v>
      </c>
      <c r="M2" s="71" t="s">
        <v>531</v>
      </c>
      <c r="N2" s="67"/>
      <c r="O2" s="67"/>
      <c r="P2" s="6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9.5" customHeight="1">
      <c r="A3" s="73"/>
      <c r="B3" s="75" t="s">
        <v>532</v>
      </c>
      <c r="C3" s="76" t="s">
        <v>533</v>
      </c>
      <c r="D3" s="76" t="s">
        <v>534</v>
      </c>
      <c r="E3" s="76" t="s">
        <v>535</v>
      </c>
      <c r="F3" s="76" t="s">
        <v>536</v>
      </c>
      <c r="G3" s="76" t="s">
        <v>537</v>
      </c>
      <c r="H3" s="76" t="s">
        <v>538</v>
      </c>
      <c r="I3" s="76" t="s">
        <v>539</v>
      </c>
      <c r="J3" s="7"/>
      <c r="K3" s="73"/>
      <c r="L3" s="76" t="s">
        <v>540</v>
      </c>
      <c r="M3" s="76" t="s">
        <v>541</v>
      </c>
      <c r="N3" s="76" t="s">
        <v>542</v>
      </c>
      <c r="O3" s="76" t="s">
        <v>543</v>
      </c>
      <c r="P3" s="76" t="s">
        <v>544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6.25" customHeight="1">
      <c r="A4" s="73"/>
      <c r="B4" s="77">
        <v>45323</v>
      </c>
      <c r="C4" s="78">
        <v>0</v>
      </c>
      <c r="D4" s="79">
        <v>135287</v>
      </c>
      <c r="E4" s="79">
        <v>135287</v>
      </c>
      <c r="F4" s="80">
        <v>-123585</v>
      </c>
      <c r="G4" s="80">
        <v>597</v>
      </c>
      <c r="H4" s="80">
        <v>-12299</v>
      </c>
      <c r="I4" s="79">
        <v>0</v>
      </c>
      <c r="J4" s="7"/>
      <c r="K4" s="73"/>
      <c r="L4" s="176" t="s">
        <v>545</v>
      </c>
      <c r="M4" s="81">
        <v>45299</v>
      </c>
      <c r="N4" s="82" t="s">
        <v>546</v>
      </c>
      <c r="O4" s="80">
        <v>500000</v>
      </c>
      <c r="P4" s="179">
        <f>SUM(O4:O6)</f>
        <v>1000000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6.25" customHeight="1">
      <c r="A5" s="73"/>
      <c r="B5" s="77">
        <v>45292</v>
      </c>
      <c r="C5" s="78">
        <v>1000000</v>
      </c>
      <c r="D5" s="79">
        <v>-616136</v>
      </c>
      <c r="E5" s="79">
        <v>-248577</v>
      </c>
      <c r="F5" s="80">
        <v>-567208</v>
      </c>
      <c r="G5" s="80">
        <v>5947</v>
      </c>
      <c r="H5" s="80">
        <v>-56126</v>
      </c>
      <c r="I5" s="79">
        <v>135287</v>
      </c>
      <c r="J5" s="7"/>
      <c r="K5" s="73"/>
      <c r="L5" s="177"/>
      <c r="M5" s="81">
        <v>45313</v>
      </c>
      <c r="N5" s="82" t="s">
        <v>546</v>
      </c>
      <c r="O5" s="80">
        <v>300000</v>
      </c>
      <c r="P5" s="17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6.25" customHeight="1">
      <c r="A6" s="73"/>
      <c r="B6" s="77">
        <v>45261</v>
      </c>
      <c r="C6" s="78">
        <v>0</v>
      </c>
      <c r="D6" s="79">
        <v>0</v>
      </c>
      <c r="E6" s="79">
        <v>-248577</v>
      </c>
      <c r="F6" s="80">
        <v>0</v>
      </c>
      <c r="G6" s="80">
        <v>1137</v>
      </c>
      <c r="H6" s="80">
        <v>114</v>
      </c>
      <c r="I6" s="79">
        <v>-248577</v>
      </c>
      <c r="J6" s="7"/>
      <c r="K6" s="73"/>
      <c r="L6" s="178"/>
      <c r="M6" s="81">
        <v>45322</v>
      </c>
      <c r="N6" s="82" t="s">
        <v>546</v>
      </c>
      <c r="O6" s="80">
        <v>200000</v>
      </c>
      <c r="P6" s="178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6.25" customHeight="1">
      <c r="A7" s="73"/>
      <c r="B7" s="77">
        <v>45231</v>
      </c>
      <c r="C7" s="78">
        <v>32609</v>
      </c>
      <c r="D7" s="79">
        <v>-248577</v>
      </c>
      <c r="E7" s="79">
        <v>-32609</v>
      </c>
      <c r="F7" s="80">
        <v>-226380</v>
      </c>
      <c r="G7" s="80">
        <v>401</v>
      </c>
      <c r="H7" s="80">
        <v>-22598</v>
      </c>
      <c r="I7" s="79">
        <v>-248577</v>
      </c>
      <c r="J7" s="7"/>
      <c r="K7" s="73"/>
      <c r="L7" s="82" t="s">
        <v>547</v>
      </c>
      <c r="M7" s="81">
        <v>45597</v>
      </c>
      <c r="N7" s="82" t="s">
        <v>548</v>
      </c>
      <c r="O7" s="80">
        <v>32609</v>
      </c>
      <c r="P7" s="80">
        <v>32609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6.25" customHeight="1">
      <c r="A8" s="73"/>
      <c r="B8" s="77">
        <v>45200</v>
      </c>
      <c r="C8" s="78">
        <v>533212</v>
      </c>
      <c r="D8" s="79">
        <v>-552609</v>
      </c>
      <c r="E8" s="79">
        <v>-13212</v>
      </c>
      <c r="F8" s="80">
        <v>-502528</v>
      </c>
      <c r="G8" s="80">
        <v>156</v>
      </c>
      <c r="H8" s="80">
        <v>-50237</v>
      </c>
      <c r="I8" s="79">
        <v>-32609</v>
      </c>
      <c r="J8" s="7"/>
      <c r="K8" s="73"/>
      <c r="L8" s="180" t="s">
        <v>549</v>
      </c>
      <c r="M8" s="81">
        <v>45595</v>
      </c>
      <c r="N8" s="82" t="s">
        <v>550</v>
      </c>
      <c r="O8" s="80">
        <v>400000</v>
      </c>
      <c r="P8" s="179">
        <f>SUM(O8:O11)</f>
        <v>533212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6.25" customHeight="1">
      <c r="A9" s="73"/>
      <c r="B9" s="77">
        <v>45170</v>
      </c>
      <c r="C9" s="78">
        <v>0</v>
      </c>
      <c r="D9" s="79">
        <v>-13212</v>
      </c>
      <c r="E9" s="79">
        <v>0</v>
      </c>
      <c r="F9" s="80">
        <v>-12011</v>
      </c>
      <c r="G9" s="80">
        <v>0</v>
      </c>
      <c r="H9" s="80">
        <v>-1201</v>
      </c>
      <c r="I9" s="79">
        <v>-13212</v>
      </c>
      <c r="J9" s="7"/>
      <c r="K9" s="73"/>
      <c r="L9" s="177"/>
      <c r="M9" s="81">
        <v>45573</v>
      </c>
      <c r="N9" s="82" t="s">
        <v>550</v>
      </c>
      <c r="O9" s="80">
        <v>100000</v>
      </c>
      <c r="P9" s="17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6.25" customHeight="1">
      <c r="A10" s="7"/>
      <c r="B10" s="7"/>
      <c r="C10" s="7"/>
      <c r="D10" s="83"/>
      <c r="E10" s="83"/>
      <c r="F10" s="83">
        <f>F11</f>
        <v>0</v>
      </c>
      <c r="G10" s="83"/>
      <c r="H10" s="83"/>
      <c r="I10" s="83"/>
      <c r="J10" s="83"/>
      <c r="K10" s="73"/>
      <c r="L10" s="177"/>
      <c r="M10" s="81">
        <v>45570</v>
      </c>
      <c r="N10" s="82" t="s">
        <v>550</v>
      </c>
      <c r="O10" s="80">
        <v>20000</v>
      </c>
      <c r="P10" s="17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6.25" customHeight="1">
      <c r="A11" s="7"/>
      <c r="B11" s="7" t="s">
        <v>551</v>
      </c>
      <c r="C11" s="7"/>
      <c r="D11" s="83"/>
      <c r="E11" s="83"/>
      <c r="F11" s="83"/>
      <c r="G11" s="83"/>
      <c r="H11" s="83"/>
      <c r="I11" s="83"/>
      <c r="J11" s="83"/>
      <c r="K11" s="73"/>
      <c r="L11" s="178"/>
      <c r="M11" s="81">
        <v>45566</v>
      </c>
      <c r="N11" s="82" t="s">
        <v>548</v>
      </c>
      <c r="O11" s="80">
        <v>13212</v>
      </c>
      <c r="P11" s="178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6.25" customHeight="1">
      <c r="A12" s="7"/>
      <c r="B12" s="7"/>
      <c r="D12" s="83"/>
      <c r="E12" s="83"/>
      <c r="F12" s="83"/>
      <c r="G12" s="83"/>
      <c r="H12" s="8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">
      <c r="A13" s="7"/>
      <c r="B13" s="7"/>
      <c r="C13" s="7"/>
      <c r="D13" s="83"/>
      <c r="E13" s="83"/>
      <c r="F13" s="83"/>
      <c r="G13" s="83"/>
      <c r="H13" s="8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">
      <c r="A14" s="7"/>
      <c r="B14" s="7"/>
      <c r="C14" s="7"/>
      <c r="D14" s="83"/>
      <c r="E14" s="83"/>
      <c r="F14" s="83"/>
      <c r="G14" s="83"/>
      <c r="H14" s="8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">
      <c r="A15" s="7"/>
      <c r="B15" s="7"/>
      <c r="C15" s="7"/>
      <c r="D15" s="83"/>
      <c r="E15" s="83"/>
      <c r="F15" s="83"/>
      <c r="G15" s="83"/>
      <c r="H15" s="8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">
      <c r="A16" s="7"/>
      <c r="B16" s="7"/>
      <c r="C16" s="7"/>
      <c r="D16" s="83"/>
      <c r="E16" s="83"/>
      <c r="F16" s="83"/>
      <c r="G16" s="83"/>
      <c r="H16" s="8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">
      <c r="A17" s="7"/>
      <c r="B17" s="7"/>
      <c r="C17" s="7"/>
      <c r="D17" s="83"/>
      <c r="E17" s="83"/>
      <c r="F17" s="83"/>
      <c r="G17" s="83"/>
      <c r="H17" s="83"/>
      <c r="I17" s="83"/>
      <c r="J17" s="83"/>
      <c r="K17" s="83"/>
      <c r="L17" s="8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">
      <c r="A18" s="7"/>
      <c r="B18" s="7"/>
      <c r="C18" s="7"/>
      <c r="D18" s="83"/>
      <c r="E18" s="83"/>
      <c r="F18" s="83"/>
      <c r="G18" s="83"/>
      <c r="H18" s="83"/>
      <c r="I18" s="83"/>
      <c r="J18" s="83"/>
      <c r="K18" s="83"/>
      <c r="L18" s="8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">
      <c r="A19" s="7"/>
      <c r="B19" s="7"/>
      <c r="C19" s="7"/>
      <c r="D19" s="7"/>
      <c r="E19" s="83"/>
      <c r="F19" s="83"/>
      <c r="G19" s="83"/>
      <c r="H19" s="83"/>
      <c r="I19" s="83"/>
      <c r="J19" s="83"/>
      <c r="K19" s="83"/>
      <c r="L19" s="8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">
      <c r="A20" s="7"/>
      <c r="B20" s="7"/>
      <c r="C20" s="7"/>
      <c r="D20" s="7"/>
      <c r="E20" s="83"/>
      <c r="F20" s="83"/>
      <c r="G20" s="83"/>
      <c r="H20" s="83"/>
      <c r="I20" s="83"/>
      <c r="J20" s="83"/>
      <c r="K20" s="83"/>
      <c r="L20" s="8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">
      <c r="A21" s="7"/>
      <c r="B21" s="7"/>
      <c r="C21" s="7"/>
      <c r="D21" s="7"/>
      <c r="E21" s="83"/>
      <c r="F21" s="83"/>
      <c r="G21" s="83"/>
      <c r="H21" s="83"/>
      <c r="I21" s="83"/>
      <c r="J21" s="83"/>
      <c r="K21" s="83"/>
      <c r="L21" s="8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">
      <c r="A22" s="7"/>
      <c r="B22" s="7"/>
      <c r="C22" s="7"/>
      <c r="D22" s="7"/>
      <c r="E22" s="83"/>
      <c r="F22" s="83"/>
      <c r="G22" s="83"/>
      <c r="H22" s="83"/>
      <c r="I22" s="83"/>
      <c r="J22" s="83"/>
      <c r="K22" s="83"/>
      <c r="L22" s="8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">
      <c r="A23" s="7"/>
      <c r="B23" s="7"/>
      <c r="C23" s="7"/>
      <c r="D23" s="7"/>
      <c r="E23" s="83"/>
      <c r="F23" s="83"/>
      <c r="G23" s="83"/>
      <c r="H23" s="83"/>
      <c r="I23" s="83"/>
      <c r="J23" s="83"/>
      <c r="K23" s="83"/>
      <c r="L23" s="8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">
      <c r="A24" s="7"/>
      <c r="B24" s="7"/>
      <c r="C24" s="7"/>
      <c r="D24" s="7"/>
      <c r="E24" s="83"/>
      <c r="F24" s="83"/>
      <c r="G24" s="83"/>
      <c r="H24" s="83"/>
      <c r="I24" s="83"/>
      <c r="J24" s="83"/>
      <c r="K24" s="83"/>
      <c r="L24" s="8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">
      <c r="A25" s="7"/>
      <c r="B25" s="7"/>
      <c r="C25" s="7"/>
      <c r="D25" s="7"/>
      <c r="E25" s="83"/>
      <c r="F25" s="83"/>
      <c r="G25" s="83"/>
      <c r="H25" s="83"/>
      <c r="I25" s="83"/>
      <c r="J25" s="83"/>
      <c r="K25" s="83"/>
      <c r="L25" s="8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">
      <c r="A26" s="7"/>
      <c r="B26" s="7"/>
      <c r="C26" s="7"/>
      <c r="D26" s="7"/>
      <c r="E26" s="83"/>
      <c r="F26" s="83"/>
      <c r="G26" s="83"/>
      <c r="H26" s="83"/>
      <c r="I26" s="83"/>
      <c r="J26" s="83"/>
      <c r="K26" s="83"/>
      <c r="L26" s="8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">
      <c r="A27" s="7"/>
      <c r="B27" s="7"/>
      <c r="C27" s="7"/>
      <c r="D27" s="7"/>
      <c r="E27" s="83"/>
      <c r="F27" s="83"/>
      <c r="G27" s="83"/>
      <c r="H27" s="83"/>
      <c r="I27" s="83"/>
      <c r="J27" s="83"/>
      <c r="K27" s="83"/>
      <c r="L27" s="8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">
      <c r="A28" s="7"/>
      <c r="B28" s="7"/>
      <c r="C28" s="7"/>
      <c r="D28" s="7"/>
      <c r="E28" s="83"/>
      <c r="F28" s="83"/>
      <c r="G28" s="83"/>
      <c r="H28" s="83"/>
      <c r="I28" s="83"/>
      <c r="J28" s="83"/>
      <c r="K28" s="83"/>
      <c r="L28" s="8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">
      <c r="A29" s="7"/>
      <c r="B29" s="7"/>
      <c r="C29" s="7"/>
      <c r="D29" s="7"/>
      <c r="E29" s="83"/>
      <c r="F29" s="83"/>
      <c r="G29" s="83"/>
      <c r="H29" s="83"/>
      <c r="I29" s="83"/>
      <c r="J29" s="83"/>
      <c r="K29" s="83"/>
      <c r="L29" s="8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"/>
    <row r="222" spans="1:27" ht="14"/>
    <row r="223" spans="1:27" ht="14"/>
    <row r="224" spans="1:27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4">
    <mergeCell ref="L4:L6"/>
    <mergeCell ref="P4:P6"/>
    <mergeCell ref="L8:L11"/>
    <mergeCell ref="P8:P11"/>
  </mergeCells>
  <phoneticPr fontId="2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outlinePr summaryBelow="0" summaryRight="0"/>
  </sheetPr>
  <dimension ref="A1:AF1000"/>
  <sheetViews>
    <sheetView workbookViewId="0"/>
  </sheetViews>
  <sheetFormatPr baseColWidth="10" defaultColWidth="14.3984375" defaultRowHeight="15.75" customHeight="1"/>
  <cols>
    <col min="1" max="3" width="12.796875" customWidth="1"/>
    <col min="4" max="4" width="13.19921875" customWidth="1"/>
    <col min="5" max="5" width="12.796875" customWidth="1"/>
    <col min="6" max="6" width="21.19921875" customWidth="1"/>
    <col min="7" max="7" width="12.796875" customWidth="1"/>
    <col min="8" max="8" width="17.796875" customWidth="1"/>
    <col min="9" max="9" width="40.19921875" customWidth="1"/>
    <col min="10" max="12" width="12.796875" customWidth="1"/>
    <col min="13" max="13" width="71.19921875" customWidth="1"/>
    <col min="14" max="32" width="12.796875" customWidth="1"/>
  </cols>
  <sheetData>
    <row r="1" spans="1:32" ht="25.5" customHeight="1">
      <c r="A1" s="84" t="s">
        <v>552</v>
      </c>
      <c r="B1" s="85" t="s">
        <v>553</v>
      </c>
      <c r="C1" s="86" t="s">
        <v>459</v>
      </c>
      <c r="D1" s="87" t="s">
        <v>460</v>
      </c>
      <c r="E1" s="88" t="s">
        <v>464</v>
      </c>
      <c r="F1" s="87" t="s">
        <v>15</v>
      </c>
      <c r="G1" s="87" t="s">
        <v>461</v>
      </c>
      <c r="H1" s="87" t="s">
        <v>11</v>
      </c>
      <c r="I1" s="87" t="s">
        <v>462</v>
      </c>
      <c r="J1" s="87" t="s">
        <v>463</v>
      </c>
      <c r="K1" s="85" t="s">
        <v>457</v>
      </c>
      <c r="L1" s="87" t="s">
        <v>252</v>
      </c>
      <c r="M1" s="8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4">
      <c r="A2" s="7"/>
      <c r="B2" s="89" t="s">
        <v>4</v>
      </c>
      <c r="C2" s="90"/>
      <c r="D2" s="91" t="str">
        <f ca="1">IFERROR(__xludf.DUMMYFUNCTION("importrange(""https://docs.google.com/spreadsheets/d/1FNiS0aIVgiAzSCE1-zxGCqkqzfLIlp1rF0-W8oa1BFU/edit#gid=1512372132"",""영업현황!F:F"")"),"#REF!")</f>
        <v>#REF!</v>
      </c>
      <c r="E2" s="92"/>
      <c r="F2" s="89" t="str">
        <f ca="1">IFERROR(__xludf.DUMMYFUNCTION("importrange(""https://docs.google.com/spreadsheets/d/1FNiS0aIVgiAzSCE1-zxGCqkqzfLIlp1rF0-W8oa1BFU/edit#gid=1512372132"",""영업현황!A:A"")"),"#REF!")</f>
        <v>#REF!</v>
      </c>
      <c r="G2" s="89" t="str">
        <f ca="1">IFERROR(__xludf.DUMMYFUNCTION("importrange(""https://docs.google.com/spreadsheets/d/1FNiS0aIVgiAzSCE1-zxGCqkqzfLIlp1rF0-W8oa1BFU/edit#gid=1512372132"",""영업현황!B:B"")"),"#REF!")</f>
        <v>#REF!</v>
      </c>
      <c r="H2" s="89" t="str">
        <f ca="1">IFERROR(__xludf.DUMMYFUNCTION("importrange(""https://docs.google.com/spreadsheets/d/1FNiS0aIVgiAzSCE1-zxGCqkqzfLIlp1rF0-W8oa1BFU/edit#gid=1512372132"",""영업현황!C:C"")"),"#REF!")</f>
        <v>#REF!</v>
      </c>
      <c r="I2" s="5" t="str">
        <f ca="1">IFERROR(__xludf.DUMMYFUNCTION("importrange(""https://docs.google.com/spreadsheets/d/1FNiS0aIVgiAzSCE1-zxGCqkqzfLIlp1rF0-W8oa1BFU/edit#gid=1512372132"",""영업현황!D:D"")"),"#REF!")</f>
        <v>#REF!</v>
      </c>
      <c r="J2" s="5" t="str">
        <f ca="1">IFERROR(__xludf.DUMMYFUNCTION("importrange(""https://docs.google.com/spreadsheets/d/1FNiS0aIVgiAzSCE1-zxGCqkqzfLIlp1rF0-W8oa1BFU/edit#gid=1512372132"",""영업현황!E:E"")"),"#REF!")</f>
        <v>#REF!</v>
      </c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4">
      <c r="A3" s="5"/>
      <c r="B3" s="89" t="s">
        <v>4</v>
      </c>
      <c r="C3" s="90"/>
      <c r="D3" s="92"/>
      <c r="E3" s="92"/>
      <c r="F3" s="89"/>
      <c r="G3" s="89"/>
      <c r="H3" s="89"/>
      <c r="I3" s="5"/>
      <c r="J3" s="5"/>
      <c r="K3" s="5"/>
      <c r="L3" s="5" t="s">
        <v>554</v>
      </c>
      <c r="M3" s="93" t="s">
        <v>555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4">
      <c r="A4" s="5"/>
      <c r="B4" s="89" t="s">
        <v>4</v>
      </c>
      <c r="C4" s="90"/>
      <c r="D4" s="92"/>
      <c r="E4" s="92"/>
      <c r="F4" s="89"/>
      <c r="G4" s="89"/>
      <c r="H4" s="89"/>
      <c r="I4" s="5"/>
      <c r="J4" s="5"/>
      <c r="K4" s="5"/>
      <c r="L4" s="5" t="s">
        <v>554</v>
      </c>
      <c r="M4" s="93" t="s">
        <v>556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4">
      <c r="A5" s="5"/>
      <c r="B5" s="89" t="s">
        <v>4</v>
      </c>
      <c r="C5" s="90"/>
      <c r="D5" s="92"/>
      <c r="E5" s="92"/>
      <c r="F5" s="89"/>
      <c r="G5" s="89"/>
      <c r="H5" s="89"/>
      <c r="I5" s="5"/>
      <c r="J5" s="5"/>
      <c r="K5" s="5"/>
      <c r="L5" s="5" t="s">
        <v>554</v>
      </c>
      <c r="M5" s="93" t="s">
        <v>557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4">
      <c r="A6" s="5"/>
      <c r="B6" s="89" t="s">
        <v>4</v>
      </c>
      <c r="C6" s="90"/>
      <c r="D6" s="92"/>
      <c r="E6" s="92"/>
      <c r="F6" s="89"/>
      <c r="G6" s="89"/>
      <c r="H6" s="89"/>
      <c r="I6" s="5"/>
      <c r="J6" s="5"/>
      <c r="K6" s="5"/>
      <c r="L6" s="5" t="s">
        <v>554</v>
      </c>
      <c r="M6" s="93" t="s">
        <v>558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">
      <c r="A7" s="5"/>
      <c r="B7" s="89" t="s">
        <v>4</v>
      </c>
      <c r="C7" s="90"/>
      <c r="D7" s="92"/>
      <c r="E7" s="92"/>
      <c r="F7" s="89"/>
      <c r="G7" s="89"/>
      <c r="H7" s="89"/>
      <c r="I7" s="5"/>
      <c r="J7" s="5"/>
      <c r="K7" s="5"/>
      <c r="L7" s="5" t="s">
        <v>554</v>
      </c>
      <c r="M7" s="93" t="s">
        <v>559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42">
      <c r="A8" s="5"/>
      <c r="B8" s="89" t="s">
        <v>4</v>
      </c>
      <c r="C8" s="90"/>
      <c r="D8" s="92"/>
      <c r="E8" s="92"/>
      <c r="F8" s="89"/>
      <c r="G8" s="89"/>
      <c r="H8" s="89"/>
      <c r="I8" s="5"/>
      <c r="J8" s="5"/>
      <c r="K8" s="5"/>
      <c r="L8" s="5" t="s">
        <v>560</v>
      </c>
      <c r="M8" s="93" t="s">
        <v>561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8">
      <c r="A9" s="5"/>
      <c r="B9" s="89" t="s">
        <v>4</v>
      </c>
      <c r="C9" s="90"/>
      <c r="D9" s="92"/>
      <c r="E9" s="92"/>
      <c r="F9" s="89"/>
      <c r="G9" s="89"/>
      <c r="H9" s="89"/>
      <c r="I9" s="5"/>
      <c r="J9" s="5"/>
      <c r="K9" s="5"/>
      <c r="L9" s="5" t="s">
        <v>560</v>
      </c>
      <c r="M9" s="93" t="s">
        <v>562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4">
      <c r="A10" s="5"/>
      <c r="B10" s="89" t="s">
        <v>4</v>
      </c>
      <c r="C10" s="90"/>
      <c r="D10" s="92"/>
      <c r="E10" s="92"/>
      <c r="F10" s="89"/>
      <c r="G10" s="89"/>
      <c r="H10" s="89"/>
      <c r="I10" s="5"/>
      <c r="J10" s="5"/>
      <c r="K10" s="5"/>
      <c r="L10" s="5" t="s">
        <v>554</v>
      </c>
      <c r="M10" s="93" t="s">
        <v>563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4">
      <c r="A11" s="5"/>
      <c r="B11" s="89" t="s">
        <v>4</v>
      </c>
      <c r="C11" s="90"/>
      <c r="D11" s="92"/>
      <c r="E11" s="92"/>
      <c r="F11" s="89"/>
      <c r="G11" s="89"/>
      <c r="H11" s="89"/>
      <c r="I11" s="5"/>
      <c r="J11" s="5"/>
      <c r="K11" s="5"/>
      <c r="L11" s="5" t="s">
        <v>554</v>
      </c>
      <c r="M11" s="93" t="s">
        <v>564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4">
      <c r="A12" s="5"/>
      <c r="B12" s="89" t="s">
        <v>4</v>
      </c>
      <c r="C12" s="90"/>
      <c r="D12" s="92"/>
      <c r="E12" s="92"/>
      <c r="F12" s="89"/>
      <c r="G12" s="89"/>
      <c r="H12" s="89"/>
      <c r="I12" s="5"/>
      <c r="J12" s="5"/>
      <c r="K12" s="5"/>
      <c r="L12" s="5" t="s">
        <v>554</v>
      </c>
      <c r="M12" s="93" t="s">
        <v>565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4">
      <c r="A13" s="5"/>
      <c r="B13" s="89" t="s">
        <v>4</v>
      </c>
      <c r="C13" s="90"/>
      <c r="D13" s="92"/>
      <c r="E13" s="92"/>
      <c r="F13" s="89"/>
      <c r="G13" s="89"/>
      <c r="H13" s="89"/>
      <c r="I13" s="5"/>
      <c r="J13" s="5"/>
      <c r="K13" s="5"/>
      <c r="L13" s="5" t="s">
        <v>560</v>
      </c>
      <c r="M13" s="93" t="s">
        <v>566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4">
      <c r="A14" s="5"/>
      <c r="B14" s="89" t="s">
        <v>4</v>
      </c>
      <c r="C14" s="90"/>
      <c r="D14" s="92"/>
      <c r="E14" s="92"/>
      <c r="F14" s="89"/>
      <c r="G14" s="89"/>
      <c r="H14" s="89"/>
      <c r="I14" s="5"/>
      <c r="J14" s="5"/>
      <c r="K14" s="5"/>
      <c r="L14" s="5" t="s">
        <v>560</v>
      </c>
      <c r="M14" s="93" t="s">
        <v>567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4">
      <c r="A15" s="5"/>
      <c r="B15" s="89" t="s">
        <v>35</v>
      </c>
      <c r="C15" s="90">
        <v>1320000</v>
      </c>
      <c r="D15" s="92"/>
      <c r="E15" s="92"/>
      <c r="F15" s="89"/>
      <c r="G15" s="89"/>
      <c r="H15" s="89"/>
      <c r="I15" s="5"/>
      <c r="J15" s="5"/>
      <c r="K15" s="5" t="s">
        <v>34</v>
      </c>
      <c r="L15" s="5" t="s">
        <v>560</v>
      </c>
      <c r="M15" s="93" t="s">
        <v>568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4">
      <c r="A16" s="5"/>
      <c r="B16" s="89" t="s">
        <v>4</v>
      </c>
      <c r="C16" s="90"/>
      <c r="D16" s="92"/>
      <c r="E16" s="92"/>
      <c r="F16" s="89"/>
      <c r="G16" s="89"/>
      <c r="H16" s="89"/>
      <c r="I16" s="5"/>
      <c r="J16" s="5"/>
      <c r="K16" s="5"/>
      <c r="L16" s="5" t="s">
        <v>554</v>
      </c>
      <c r="M16" s="93" t="s">
        <v>569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8">
      <c r="A17" s="5"/>
      <c r="B17" s="89" t="s">
        <v>4</v>
      </c>
      <c r="C17" s="90"/>
      <c r="D17" s="92"/>
      <c r="E17" s="92"/>
      <c r="F17" s="89"/>
      <c r="G17" s="89"/>
      <c r="H17" s="89"/>
      <c r="I17" s="5"/>
      <c r="J17" s="5"/>
      <c r="K17" s="5"/>
      <c r="L17" s="5" t="s">
        <v>560</v>
      </c>
      <c r="M17" s="93" t="s">
        <v>570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4">
      <c r="A18" s="5"/>
      <c r="B18" s="89" t="s">
        <v>4</v>
      </c>
      <c r="C18" s="90"/>
      <c r="D18" s="92"/>
      <c r="E18" s="92"/>
      <c r="F18" s="89"/>
      <c r="G18" s="89"/>
      <c r="H18" s="89"/>
      <c r="I18" s="5"/>
      <c r="J18" s="5"/>
      <c r="K18" s="5"/>
      <c r="L18" s="5" t="s">
        <v>554</v>
      </c>
      <c r="M18" s="93" t="s">
        <v>571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4">
      <c r="A19" s="5"/>
      <c r="B19" s="89" t="s">
        <v>4</v>
      </c>
      <c r="C19" s="90"/>
      <c r="D19" s="92"/>
      <c r="E19" s="92"/>
      <c r="F19" s="89"/>
      <c r="G19" s="89"/>
      <c r="H19" s="89"/>
      <c r="I19" s="5"/>
      <c r="J19" s="5"/>
      <c r="K19" s="5"/>
      <c r="L19" s="5" t="s">
        <v>560</v>
      </c>
      <c r="M19" s="93" t="s">
        <v>572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28">
      <c r="A20" s="5"/>
      <c r="B20" s="89" t="s">
        <v>4</v>
      </c>
      <c r="C20" s="90"/>
      <c r="D20" s="92"/>
      <c r="E20" s="92"/>
      <c r="F20" s="89"/>
      <c r="G20" s="89"/>
      <c r="H20" s="89"/>
      <c r="I20" s="5"/>
      <c r="J20" s="5"/>
      <c r="K20" s="5"/>
      <c r="L20" s="5" t="s">
        <v>554</v>
      </c>
      <c r="M20" s="93" t="s">
        <v>573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4">
      <c r="A21" s="5"/>
      <c r="B21" s="89" t="s">
        <v>4</v>
      </c>
      <c r="C21" s="90"/>
      <c r="D21" s="92"/>
      <c r="E21" s="92"/>
      <c r="F21" s="89"/>
      <c r="G21" s="89"/>
      <c r="H21" s="89"/>
      <c r="I21" s="5"/>
      <c r="J21" s="5"/>
      <c r="K21" s="5"/>
      <c r="L21" s="5" t="s">
        <v>554</v>
      </c>
      <c r="M21" s="93" t="s">
        <v>574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8">
      <c r="A22" s="5"/>
      <c r="B22" s="89" t="s">
        <v>4</v>
      </c>
      <c r="C22" s="90"/>
      <c r="D22" s="92"/>
      <c r="E22" s="92"/>
      <c r="F22" s="89"/>
      <c r="G22" s="89"/>
      <c r="H22" s="89"/>
      <c r="I22" s="5"/>
      <c r="J22" s="5"/>
      <c r="K22" s="5"/>
      <c r="L22" s="5" t="s">
        <v>560</v>
      </c>
      <c r="M22" s="93" t="s">
        <v>575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4">
      <c r="A23" s="5"/>
      <c r="B23" s="89" t="s">
        <v>4</v>
      </c>
      <c r="C23" s="90"/>
      <c r="D23" s="92"/>
      <c r="E23" s="92"/>
      <c r="F23" s="89"/>
      <c r="G23" s="89"/>
      <c r="H23" s="89"/>
      <c r="I23" s="5"/>
      <c r="J23" s="5"/>
      <c r="K23" s="5"/>
      <c r="L23" s="5" t="s">
        <v>560</v>
      </c>
      <c r="M23" s="93" t="s">
        <v>576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4">
      <c r="A24" s="5"/>
      <c r="B24" s="89" t="s">
        <v>4</v>
      </c>
      <c r="C24" s="90"/>
      <c r="D24" s="92"/>
      <c r="E24" s="92"/>
      <c r="F24" s="89"/>
      <c r="G24" s="89"/>
      <c r="H24" s="89"/>
      <c r="I24" s="5"/>
      <c r="J24" s="5"/>
      <c r="K24" s="5"/>
      <c r="L24" s="5" t="s">
        <v>560</v>
      </c>
      <c r="M24" s="93" t="s">
        <v>577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4">
      <c r="A25" s="5"/>
      <c r="B25" s="89" t="s">
        <v>4</v>
      </c>
      <c r="C25" s="90"/>
      <c r="D25" s="92"/>
      <c r="E25" s="92"/>
      <c r="F25" s="89"/>
      <c r="G25" s="89"/>
      <c r="H25" s="89"/>
      <c r="I25" s="5"/>
      <c r="J25" s="5"/>
      <c r="K25" s="5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4">
      <c r="A26" s="5"/>
      <c r="B26" s="89" t="s">
        <v>35</v>
      </c>
      <c r="C26" s="90">
        <v>1320000</v>
      </c>
      <c r="D26" s="92"/>
      <c r="E26" s="92"/>
      <c r="F26" s="89"/>
      <c r="G26" s="89"/>
      <c r="H26" s="89"/>
      <c r="I26" s="5"/>
      <c r="J26" s="5"/>
      <c r="K26" s="5" t="s">
        <v>34</v>
      </c>
      <c r="L26" s="5" t="s">
        <v>560</v>
      </c>
      <c r="M26" s="93" t="s">
        <v>578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">
      <c r="A27" s="5"/>
      <c r="B27" s="89" t="s">
        <v>4</v>
      </c>
      <c r="C27" s="90"/>
      <c r="D27" s="92"/>
      <c r="E27" s="92"/>
      <c r="F27" s="89"/>
      <c r="G27" s="89"/>
      <c r="H27" s="89"/>
      <c r="I27" s="5"/>
      <c r="J27" s="5"/>
      <c r="K27" s="5"/>
      <c r="L27" s="5" t="s">
        <v>554</v>
      </c>
      <c r="M27" s="93" t="s">
        <v>579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4">
      <c r="A28" s="5"/>
      <c r="B28" s="89" t="s">
        <v>4</v>
      </c>
      <c r="C28" s="90"/>
      <c r="D28" s="92"/>
      <c r="E28" s="92"/>
      <c r="F28" s="89"/>
      <c r="G28" s="89"/>
      <c r="H28" s="89"/>
      <c r="I28" s="5"/>
      <c r="J28" s="5"/>
      <c r="K28" s="5"/>
      <c r="L28" s="5" t="s">
        <v>560</v>
      </c>
      <c r="M28" s="93" t="s">
        <v>580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4">
      <c r="A29" s="5"/>
      <c r="B29" s="89" t="s">
        <v>4</v>
      </c>
      <c r="C29" s="90"/>
      <c r="D29" s="92"/>
      <c r="E29" s="92"/>
      <c r="F29" s="89"/>
      <c r="G29" s="89"/>
      <c r="H29" s="89"/>
      <c r="I29" s="5"/>
      <c r="J29" s="5"/>
      <c r="K29" s="5"/>
      <c r="L29" s="5"/>
      <c r="M29" s="7" t="s">
        <v>581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4">
      <c r="A30" s="5"/>
      <c r="B30" s="89" t="s">
        <v>4</v>
      </c>
      <c r="C30" s="90"/>
      <c r="D30" s="92"/>
      <c r="E30" s="92"/>
      <c r="F30" s="89"/>
      <c r="G30" s="89"/>
      <c r="H30" s="89"/>
      <c r="I30" s="5"/>
      <c r="J30" s="5"/>
      <c r="K30" s="5"/>
      <c r="M30" s="7" t="s">
        <v>582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4">
      <c r="A31" s="5"/>
      <c r="B31" s="89" t="s">
        <v>4</v>
      </c>
      <c r="C31" s="90"/>
      <c r="D31" s="92"/>
      <c r="E31" s="92"/>
      <c r="F31" s="89"/>
      <c r="G31" s="89"/>
      <c r="H31" s="89"/>
      <c r="I31" s="5"/>
      <c r="J31" s="5"/>
      <c r="K31" s="5"/>
      <c r="L31" s="5"/>
      <c r="M31" s="7" t="s">
        <v>583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4">
      <c r="A32" s="5"/>
      <c r="B32" s="89" t="s">
        <v>4</v>
      </c>
      <c r="C32" s="90"/>
      <c r="D32" s="92"/>
      <c r="E32" s="92"/>
      <c r="F32" s="89"/>
      <c r="G32" s="89"/>
      <c r="H32" s="89"/>
      <c r="I32" s="5"/>
      <c r="J32" s="5"/>
      <c r="K32" s="5"/>
      <c r="L32" s="5"/>
      <c r="M32" s="7" t="s">
        <v>584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4">
      <c r="A33" s="5"/>
      <c r="B33" s="89" t="s">
        <v>4</v>
      </c>
      <c r="C33" s="90"/>
      <c r="D33" s="92"/>
      <c r="E33" s="92"/>
      <c r="F33" s="89"/>
      <c r="G33" s="89"/>
      <c r="H33" s="89"/>
      <c r="I33" s="5"/>
      <c r="J33" s="5"/>
      <c r="K33" s="5"/>
      <c r="L33" s="5"/>
      <c r="M33" s="7" t="s">
        <v>585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4">
      <c r="A34" s="5"/>
      <c r="B34" s="89" t="s">
        <v>4</v>
      </c>
      <c r="C34" s="90"/>
      <c r="D34" s="92"/>
      <c r="E34" s="92"/>
      <c r="F34" s="89"/>
      <c r="G34" s="89"/>
      <c r="H34" s="89"/>
      <c r="I34" s="5"/>
      <c r="J34" s="5"/>
      <c r="K34" s="5"/>
      <c r="L34" s="5"/>
      <c r="M34" s="7" t="s">
        <v>583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4">
      <c r="A35" s="5"/>
      <c r="B35" s="89" t="s">
        <v>4</v>
      </c>
      <c r="C35" s="90"/>
      <c r="D35" s="92"/>
      <c r="E35" s="92"/>
      <c r="F35" s="89"/>
      <c r="G35" s="89"/>
      <c r="H35" s="89"/>
      <c r="I35" s="5"/>
      <c r="J35" s="5"/>
      <c r="K35" s="5"/>
      <c r="L35" s="5"/>
      <c r="M35" s="7" t="s">
        <v>586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8" customHeight="1">
      <c r="A36" s="7"/>
      <c r="B36" s="89" t="s">
        <v>4</v>
      </c>
      <c r="C36" s="90"/>
      <c r="D36" s="92"/>
      <c r="E36" s="92"/>
      <c r="F36" s="5"/>
      <c r="G36" s="5"/>
      <c r="H36" s="5"/>
      <c r="I36" s="5"/>
      <c r="J36" s="5"/>
      <c r="K36" s="5"/>
      <c r="L36" s="5"/>
      <c r="M36" s="7" t="s">
        <v>587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8" customHeight="1">
      <c r="A37" s="7"/>
      <c r="B37" s="89" t="s">
        <v>4</v>
      </c>
      <c r="C37" s="90"/>
      <c r="D37" s="92"/>
      <c r="E37" s="92"/>
      <c r="F37" s="5"/>
      <c r="G37" s="5"/>
      <c r="H37" s="5"/>
      <c r="I37" s="5"/>
      <c r="J37" s="94"/>
      <c r="K37" s="5"/>
      <c r="L37" s="5"/>
      <c r="M37" s="7" t="s">
        <v>585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8" customHeight="1">
      <c r="A38" s="7"/>
      <c r="B38" s="89" t="s">
        <v>4</v>
      </c>
      <c r="C38" s="90"/>
      <c r="D38" s="92"/>
      <c r="E38" s="92"/>
      <c r="F38" s="5"/>
      <c r="G38" s="5"/>
      <c r="H38" s="5"/>
      <c r="I38" s="5"/>
      <c r="J38" s="5"/>
      <c r="K38" s="5"/>
      <c r="L38" s="5"/>
      <c r="M38" s="7" t="s">
        <v>583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8" customHeight="1">
      <c r="A39" s="7"/>
      <c r="B39" s="89" t="s">
        <v>35</v>
      </c>
      <c r="C39" s="90">
        <v>620400</v>
      </c>
      <c r="D39" s="92"/>
      <c r="E39" s="92"/>
      <c r="F39" s="5"/>
      <c r="G39" s="5"/>
      <c r="H39" s="5"/>
      <c r="I39" s="5"/>
      <c r="J39" s="5"/>
      <c r="K39" s="5" t="s">
        <v>34</v>
      </c>
      <c r="L39" s="5"/>
      <c r="M39" s="7" t="s">
        <v>588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8" customHeight="1">
      <c r="A40" s="7"/>
      <c r="B40" s="89" t="s">
        <v>35</v>
      </c>
      <c r="C40" s="90">
        <v>460900</v>
      </c>
      <c r="D40" s="92"/>
      <c r="E40" s="92"/>
      <c r="F40" s="5"/>
      <c r="G40" s="5"/>
      <c r="H40" s="5"/>
      <c r="I40" s="5"/>
      <c r="J40" s="5"/>
      <c r="K40" s="5" t="s">
        <v>34</v>
      </c>
      <c r="L40" s="5"/>
      <c r="M40" s="7" t="s">
        <v>589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8" customHeight="1">
      <c r="A41" s="7"/>
      <c r="B41" s="89" t="s">
        <v>4</v>
      </c>
      <c r="C41" s="90"/>
      <c r="D41" s="92"/>
      <c r="E41" s="92"/>
      <c r="F41" s="5"/>
      <c r="G41" s="5"/>
      <c r="H41" s="5"/>
      <c r="I41" s="5"/>
      <c r="J41" s="5"/>
      <c r="K41" s="5"/>
      <c r="L41" s="5"/>
      <c r="M41" s="7" t="s">
        <v>590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8" customHeight="1">
      <c r="A42" s="7"/>
      <c r="B42" s="89" t="s">
        <v>4</v>
      </c>
      <c r="C42" s="90"/>
      <c r="D42" s="92"/>
      <c r="E42" s="92"/>
      <c r="F42" s="5"/>
      <c r="G42" s="5"/>
      <c r="H42" s="5"/>
      <c r="I42" s="5"/>
      <c r="J42" s="5"/>
      <c r="K42" s="5"/>
      <c r="L42" s="5"/>
      <c r="M42" s="7" t="s">
        <v>591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8" customHeight="1">
      <c r="A43" s="7"/>
      <c r="B43" s="89" t="s">
        <v>4</v>
      </c>
      <c r="C43" s="90"/>
      <c r="D43" s="92"/>
      <c r="E43" s="92"/>
      <c r="F43" s="5"/>
      <c r="G43" s="5"/>
      <c r="H43" s="5"/>
      <c r="I43" s="5"/>
      <c r="J43" s="5"/>
      <c r="K43" s="5"/>
      <c r="L43" s="5"/>
      <c r="M43" s="7" t="s">
        <v>592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8" customHeight="1">
      <c r="A44" s="7"/>
      <c r="B44" s="89" t="s">
        <v>4</v>
      </c>
      <c r="C44" s="90"/>
      <c r="D44" s="92"/>
      <c r="E44" s="92"/>
      <c r="F44" s="5"/>
      <c r="G44" s="5"/>
      <c r="H44" s="5"/>
      <c r="I44" s="5"/>
      <c r="J44" s="5"/>
      <c r="K44" s="5"/>
      <c r="L44" s="5"/>
      <c r="M44" s="7" t="s">
        <v>593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8" customHeight="1">
      <c r="A45" s="7"/>
      <c r="B45" s="89" t="s">
        <v>4</v>
      </c>
      <c r="C45" s="90"/>
      <c r="D45" s="92"/>
      <c r="E45" s="92"/>
      <c r="F45" s="5"/>
      <c r="G45" s="5"/>
      <c r="H45" s="5"/>
      <c r="I45" s="5"/>
      <c r="J45" s="5"/>
      <c r="K45" s="5"/>
      <c r="L45" s="5"/>
      <c r="M45" s="7" t="s">
        <v>593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8" customHeight="1">
      <c r="A46" s="7"/>
      <c r="B46" s="89" t="s">
        <v>4</v>
      </c>
      <c r="C46" s="90"/>
      <c r="D46" s="92"/>
      <c r="E46" s="92"/>
      <c r="F46" s="5"/>
      <c r="G46" s="5"/>
      <c r="H46" s="5"/>
      <c r="I46" s="5"/>
      <c r="J46" s="5"/>
      <c r="K46" s="5"/>
      <c r="L46" s="5"/>
      <c r="M46" s="7" t="s">
        <v>594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8" customHeight="1">
      <c r="A47" s="7"/>
      <c r="B47" s="89" t="s">
        <v>4</v>
      </c>
      <c r="C47" s="90"/>
      <c r="D47" s="92"/>
      <c r="E47" s="92"/>
      <c r="F47" s="5"/>
      <c r="G47" s="5"/>
      <c r="H47" s="5"/>
      <c r="I47" s="5"/>
      <c r="J47" s="5"/>
      <c r="K47" s="5"/>
      <c r="L47" s="5"/>
      <c r="M47" s="7" t="s">
        <v>595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8" customHeight="1">
      <c r="A48" s="7"/>
      <c r="B48" s="89" t="s">
        <v>4</v>
      </c>
      <c r="C48" s="90"/>
      <c r="D48" s="92"/>
      <c r="E48" s="92"/>
      <c r="F48" s="5"/>
      <c r="G48" s="5"/>
      <c r="H48" s="5"/>
      <c r="I48" s="5"/>
      <c r="J48" s="5"/>
      <c r="K48" s="5"/>
      <c r="L48" s="5"/>
      <c r="M48" s="7" t="s">
        <v>596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8" customHeight="1">
      <c r="A49" s="7"/>
      <c r="B49" s="89" t="s">
        <v>35</v>
      </c>
      <c r="C49" s="90">
        <v>687700</v>
      </c>
      <c r="D49" s="92"/>
      <c r="E49" s="92"/>
      <c r="F49" s="5"/>
      <c r="G49" s="5"/>
      <c r="H49" s="5"/>
      <c r="I49" s="5"/>
      <c r="J49" s="5"/>
      <c r="K49" s="5" t="s">
        <v>34</v>
      </c>
      <c r="L49" s="5"/>
      <c r="M49" s="7" t="s">
        <v>597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8" customHeight="1">
      <c r="A50" s="7"/>
      <c r="B50" s="89" t="s">
        <v>4</v>
      </c>
      <c r="C50" s="90"/>
      <c r="D50" s="92"/>
      <c r="E50" s="92"/>
      <c r="F50" s="5"/>
      <c r="G50" s="5"/>
      <c r="H50" s="5"/>
      <c r="I50" s="5"/>
      <c r="J50" s="5"/>
      <c r="K50" s="5"/>
      <c r="L50" s="5"/>
      <c r="M50" s="7" t="s">
        <v>598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8" customHeight="1">
      <c r="A51" s="7"/>
      <c r="B51" s="89" t="s">
        <v>4</v>
      </c>
      <c r="C51" s="90"/>
      <c r="D51" s="92"/>
      <c r="E51" s="92"/>
      <c r="F51" s="5"/>
      <c r="G51" s="5"/>
      <c r="H51" s="5"/>
      <c r="I51" s="5"/>
      <c r="J51" s="5"/>
      <c r="K51" s="5"/>
      <c r="L51" s="5"/>
      <c r="M51" s="7" t="s">
        <v>599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8" customHeight="1">
      <c r="A52" s="7"/>
      <c r="B52" s="89" t="s">
        <v>4</v>
      </c>
      <c r="C52" s="90"/>
      <c r="D52" s="92"/>
      <c r="E52" s="92"/>
      <c r="F52" s="5"/>
      <c r="G52" s="5"/>
      <c r="H52" s="5"/>
      <c r="I52" s="5"/>
      <c r="J52" s="5"/>
      <c r="K52" s="5"/>
      <c r="L52" s="5"/>
      <c r="M52" s="7" t="s">
        <v>600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8" customHeight="1">
      <c r="A53" s="7"/>
      <c r="B53" s="89" t="s">
        <v>35</v>
      </c>
      <c r="C53" s="90"/>
      <c r="D53" s="92"/>
      <c r="E53" s="92"/>
      <c r="F53" s="5"/>
      <c r="G53" s="5"/>
      <c r="H53" s="5"/>
      <c r="I53" s="5"/>
      <c r="J53" s="5"/>
      <c r="K53" s="5"/>
      <c r="L53" s="5"/>
      <c r="M53" s="7" t="s">
        <v>601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8" customHeight="1">
      <c r="A54" s="7"/>
      <c r="B54" s="89" t="s">
        <v>4</v>
      </c>
      <c r="C54" s="95"/>
      <c r="D54" s="92"/>
      <c r="E54" s="92"/>
      <c r="F54" s="5"/>
      <c r="G54" s="5"/>
      <c r="H54" s="5"/>
      <c r="I54" s="5"/>
      <c r="J54" s="5"/>
      <c r="K54" s="5"/>
      <c r="L54" s="5"/>
      <c r="M54" s="7" t="s">
        <v>602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8" customHeight="1">
      <c r="A55" s="7"/>
      <c r="B55" s="89" t="s">
        <v>4</v>
      </c>
      <c r="C55" s="95"/>
      <c r="D55" s="92"/>
      <c r="E55" s="92"/>
      <c r="F55" s="5"/>
      <c r="G55" s="5"/>
      <c r="H55" s="5"/>
      <c r="I55" s="5"/>
      <c r="J55" s="5"/>
      <c r="K55" s="5"/>
      <c r="L55" s="5"/>
      <c r="M55" s="7" t="s">
        <v>603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8" customHeight="1">
      <c r="A56" s="7"/>
      <c r="B56" s="89" t="s">
        <v>4</v>
      </c>
      <c r="C56" s="95"/>
      <c r="D56" s="92"/>
      <c r="E56" s="92"/>
      <c r="F56" s="5"/>
      <c r="G56" s="5"/>
      <c r="H56" s="5"/>
      <c r="I56" s="5"/>
      <c r="J56" s="5"/>
      <c r="K56" s="5"/>
      <c r="L56" s="5"/>
      <c r="M56" s="7" t="s">
        <v>604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8" customHeight="1">
      <c r="A57" s="7"/>
      <c r="B57" s="89" t="s">
        <v>4</v>
      </c>
      <c r="C57" s="95"/>
      <c r="D57" s="92"/>
      <c r="E57" s="92"/>
      <c r="F57" s="5"/>
      <c r="G57" s="5"/>
      <c r="H57" s="5"/>
      <c r="I57" s="5"/>
      <c r="J57" s="5"/>
      <c r="K57" s="5"/>
      <c r="L57" s="5"/>
      <c r="M57" s="7" t="s">
        <v>605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8" customHeight="1">
      <c r="A58" s="7"/>
      <c r="B58" s="89" t="s">
        <v>4</v>
      </c>
      <c r="C58" s="95"/>
      <c r="D58" s="92"/>
      <c r="E58" s="92"/>
      <c r="F58" s="5"/>
      <c r="G58" s="5"/>
      <c r="H58" s="5"/>
      <c r="I58" s="5"/>
      <c r="J58" s="5"/>
      <c r="K58" s="5"/>
      <c r="L58" s="5"/>
      <c r="M58" s="7" t="s">
        <v>606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8" customHeight="1">
      <c r="A59" s="7"/>
      <c r="B59" s="89" t="s">
        <v>4</v>
      </c>
      <c r="C59" s="95"/>
      <c r="D59" s="92"/>
      <c r="E59" s="92">
        <v>45062</v>
      </c>
      <c r="F59" s="5"/>
      <c r="G59" s="5"/>
      <c r="H59" s="5"/>
      <c r="I59" s="5"/>
      <c r="J59" s="5"/>
      <c r="K59" s="5"/>
      <c r="L59" s="5"/>
      <c r="M59" s="7" t="s">
        <v>607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8" customHeight="1">
      <c r="A60" s="7"/>
      <c r="B60" s="89" t="s">
        <v>4</v>
      </c>
      <c r="C60" s="95"/>
      <c r="D60" s="92"/>
      <c r="E60" s="92">
        <v>45062</v>
      </c>
      <c r="F60" s="5"/>
      <c r="G60" s="5"/>
      <c r="H60" s="5"/>
      <c r="I60" s="5"/>
      <c r="J60" s="5"/>
      <c r="K60" s="5"/>
      <c r="L60" s="5"/>
      <c r="M60" s="7" t="s">
        <v>608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8" customHeight="1">
      <c r="A61" s="7"/>
      <c r="B61" s="89" t="s">
        <v>4</v>
      </c>
      <c r="C61" s="95"/>
      <c r="D61" s="92"/>
      <c r="E61" s="92">
        <v>45063</v>
      </c>
      <c r="F61" s="5"/>
      <c r="G61" s="5"/>
      <c r="H61" s="5"/>
      <c r="I61" s="5"/>
      <c r="J61" s="5"/>
      <c r="K61" s="5"/>
      <c r="L61" s="5"/>
      <c r="M61" s="7" t="s">
        <v>609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8" customHeight="1">
      <c r="A62" s="7"/>
      <c r="B62" s="89" t="s">
        <v>4</v>
      </c>
      <c r="C62" s="95"/>
      <c r="D62" s="92"/>
      <c r="E62" s="92">
        <v>45064.33016203704</v>
      </c>
      <c r="F62" s="5"/>
      <c r="G62" s="5"/>
      <c r="H62" s="5"/>
      <c r="I62" s="5"/>
      <c r="J62" s="5"/>
      <c r="K62" s="5"/>
      <c r="L62" s="5"/>
      <c r="M62" s="7" t="s">
        <v>610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8" customHeight="1">
      <c r="A63" s="7"/>
      <c r="B63" s="89" t="s">
        <v>4</v>
      </c>
      <c r="C63" s="95"/>
      <c r="D63" s="92"/>
      <c r="E63" s="92">
        <v>45064.33016203704</v>
      </c>
      <c r="F63" s="5"/>
      <c r="G63" s="5"/>
      <c r="H63" s="5"/>
      <c r="I63" s="5"/>
      <c r="J63" s="5"/>
      <c r="K63" s="5"/>
      <c r="L63" s="5"/>
      <c r="M63" s="7" t="s">
        <v>611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8" customHeight="1">
      <c r="A64" s="7"/>
      <c r="B64" s="89" t="s">
        <v>4</v>
      </c>
      <c r="C64" s="95"/>
      <c r="D64" s="92"/>
      <c r="E64" s="92">
        <v>45064.33016203704</v>
      </c>
      <c r="F64" s="5"/>
      <c r="G64" s="5"/>
      <c r="H64" s="5"/>
      <c r="I64" s="5"/>
      <c r="J64" s="5"/>
      <c r="K64" s="5"/>
      <c r="L64" s="5"/>
      <c r="M64" s="7" t="s">
        <v>612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8" customHeight="1">
      <c r="A65" s="7"/>
      <c r="B65" s="89" t="s">
        <v>4</v>
      </c>
      <c r="C65" s="95"/>
      <c r="D65" s="92"/>
      <c r="E65" s="92">
        <v>45064.33016203704</v>
      </c>
      <c r="F65" s="5"/>
      <c r="G65" s="5"/>
      <c r="H65" s="5"/>
      <c r="I65" s="5"/>
      <c r="J65" s="5"/>
      <c r="K65" s="5"/>
      <c r="L65" s="5"/>
      <c r="M65" s="7" t="s">
        <v>613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8" customHeight="1">
      <c r="A66" s="7"/>
      <c r="B66" s="89" t="s">
        <v>4</v>
      </c>
      <c r="C66" s="95"/>
      <c r="D66" s="92"/>
      <c r="E66" s="92">
        <v>45064.33016203704</v>
      </c>
      <c r="F66" s="5"/>
      <c r="G66" s="5"/>
      <c r="H66" s="5"/>
      <c r="I66" s="5"/>
      <c r="J66" s="5"/>
      <c r="K66" s="5"/>
      <c r="L66" s="5"/>
      <c r="M66" s="7" t="s">
        <v>614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8" customHeight="1">
      <c r="A67" s="7"/>
      <c r="B67" s="89" t="s">
        <v>4</v>
      </c>
      <c r="C67" s="95"/>
      <c r="D67" s="92"/>
      <c r="E67" s="92">
        <v>45064.33016203704</v>
      </c>
      <c r="F67" s="5"/>
      <c r="G67" s="5"/>
      <c r="H67" s="5"/>
      <c r="I67" s="5"/>
      <c r="J67" s="5"/>
      <c r="K67" s="5"/>
      <c r="L67" s="5"/>
      <c r="M67" s="7" t="s">
        <v>611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8" customHeight="1">
      <c r="A68" s="7"/>
      <c r="B68" s="89" t="s">
        <v>4</v>
      </c>
      <c r="C68" s="95"/>
      <c r="D68" s="92"/>
      <c r="E68" s="92"/>
      <c r="F68" s="5"/>
      <c r="G68" s="5"/>
      <c r="H68" s="5"/>
      <c r="I68" s="5"/>
      <c r="J68" s="5"/>
      <c r="K68" s="5"/>
      <c r="L68" s="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8" customHeight="1">
      <c r="A69" s="7"/>
      <c r="B69" s="89" t="s">
        <v>4</v>
      </c>
      <c r="C69" s="95"/>
      <c r="D69" s="92"/>
      <c r="E69" s="92"/>
      <c r="F69" s="5"/>
      <c r="G69" s="5"/>
      <c r="H69" s="5"/>
      <c r="I69" s="5"/>
      <c r="J69" s="5"/>
      <c r="K69" s="5"/>
      <c r="L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8" customHeight="1">
      <c r="A70" s="7"/>
      <c r="B70" s="89" t="s">
        <v>4</v>
      </c>
      <c r="C70" s="95"/>
      <c r="D70" s="92"/>
      <c r="E70" s="92"/>
      <c r="F70" s="5"/>
      <c r="G70" s="5"/>
      <c r="H70" s="5"/>
      <c r="I70" s="5"/>
      <c r="J70" s="5"/>
      <c r="K70" s="5"/>
      <c r="L70" s="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8" customHeight="1">
      <c r="A71" s="7"/>
      <c r="B71" s="89" t="s">
        <v>4</v>
      </c>
      <c r="C71" s="95"/>
      <c r="D71" s="92"/>
      <c r="E71" s="92"/>
      <c r="F71" s="5"/>
      <c r="G71" s="5"/>
      <c r="H71" s="5"/>
      <c r="I71" s="5"/>
      <c r="J71" s="5"/>
      <c r="K71" s="5"/>
      <c r="L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8" customHeight="1">
      <c r="A72" s="7"/>
      <c r="B72" s="89" t="s">
        <v>4</v>
      </c>
      <c r="C72" s="95"/>
      <c r="D72" s="92"/>
      <c r="E72" s="92"/>
      <c r="F72" s="5"/>
      <c r="G72" s="5"/>
      <c r="H72" s="5"/>
      <c r="I72" s="5"/>
      <c r="J72" s="5"/>
      <c r="K72" s="5"/>
      <c r="L72" s="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8" customHeight="1">
      <c r="A73" s="7"/>
      <c r="B73" s="89" t="s">
        <v>4</v>
      </c>
      <c r="C73" s="95"/>
      <c r="D73" s="92"/>
      <c r="E73" s="92"/>
      <c r="F73" s="5"/>
      <c r="G73" s="5"/>
      <c r="H73" s="5"/>
      <c r="I73" s="5"/>
      <c r="J73" s="5"/>
      <c r="K73" s="5"/>
      <c r="L73" s="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8" customHeight="1">
      <c r="A74" s="7"/>
      <c r="B74" s="89" t="s">
        <v>4</v>
      </c>
      <c r="C74" s="95"/>
      <c r="D74" s="92"/>
      <c r="E74" s="92"/>
      <c r="F74" s="5"/>
      <c r="G74" s="5"/>
      <c r="H74" s="5"/>
      <c r="I74" s="5"/>
      <c r="J74" s="5"/>
      <c r="K74" s="5"/>
      <c r="L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8" customHeight="1">
      <c r="A75" s="7"/>
      <c r="B75" s="89" t="s">
        <v>4</v>
      </c>
      <c r="C75" s="95"/>
      <c r="D75" s="92"/>
      <c r="E75" s="92"/>
      <c r="F75" s="5"/>
      <c r="G75" s="5"/>
      <c r="H75" s="5"/>
      <c r="I75" s="5"/>
      <c r="J75" s="5"/>
      <c r="K75" s="5"/>
      <c r="L75" s="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8" customHeight="1">
      <c r="A76" s="7"/>
      <c r="B76" s="89" t="s">
        <v>4</v>
      </c>
      <c r="C76" s="95"/>
      <c r="D76" s="92"/>
      <c r="E76" s="92"/>
      <c r="F76" s="5"/>
      <c r="G76" s="5"/>
      <c r="H76" s="5"/>
      <c r="I76" s="5"/>
      <c r="J76" s="5"/>
      <c r="K76" s="5"/>
      <c r="L76" s="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8" customHeight="1">
      <c r="A77" s="7"/>
      <c r="B77" s="89" t="s">
        <v>4</v>
      </c>
      <c r="C77" s="95"/>
      <c r="D77" s="92"/>
      <c r="E77" s="92"/>
      <c r="F77" s="5"/>
      <c r="G77" s="5"/>
      <c r="H77" s="5"/>
      <c r="I77" s="5"/>
      <c r="J77" s="5"/>
      <c r="K77" s="5"/>
      <c r="L77" s="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8" customHeight="1">
      <c r="A78" s="7"/>
      <c r="B78" s="89" t="s">
        <v>4</v>
      </c>
      <c r="C78" s="95"/>
      <c r="D78" s="92"/>
      <c r="E78" s="92"/>
      <c r="F78" s="5"/>
      <c r="G78" s="5"/>
      <c r="H78" s="5"/>
      <c r="I78" s="5"/>
      <c r="J78" s="5"/>
      <c r="K78" s="5"/>
      <c r="L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8" customHeight="1">
      <c r="A79" s="7"/>
      <c r="B79" s="89" t="s">
        <v>4</v>
      </c>
      <c r="C79" s="95"/>
      <c r="D79" s="92"/>
      <c r="E79" s="92"/>
      <c r="F79" s="5"/>
      <c r="G79" s="5"/>
      <c r="H79" s="5"/>
      <c r="I79" s="5"/>
      <c r="J79" s="5"/>
      <c r="K79" s="5"/>
      <c r="L79" s="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8" customHeight="1">
      <c r="A80" s="7"/>
      <c r="B80" s="89" t="s">
        <v>4</v>
      </c>
      <c r="C80" s="95"/>
      <c r="D80" s="92"/>
      <c r="E80" s="92"/>
      <c r="F80" s="5"/>
      <c r="G80" s="5"/>
      <c r="H80" s="5"/>
      <c r="I80" s="5"/>
      <c r="J80" s="5"/>
      <c r="K80" s="5"/>
      <c r="L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8" customHeight="1">
      <c r="A81" s="7"/>
      <c r="B81" s="89" t="s">
        <v>4</v>
      </c>
      <c r="C81" s="95"/>
      <c r="D81" s="92"/>
      <c r="E81" s="92"/>
      <c r="F81" s="5"/>
      <c r="G81" s="5"/>
      <c r="H81" s="5"/>
      <c r="I81" s="5"/>
      <c r="J81" s="5"/>
      <c r="K81" s="5"/>
      <c r="L81" s="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8" customHeight="1">
      <c r="A82" s="7"/>
      <c r="B82" s="89" t="s">
        <v>4</v>
      </c>
      <c r="C82" s="95"/>
      <c r="D82" s="92"/>
      <c r="E82" s="92"/>
      <c r="F82" s="5"/>
      <c r="G82" s="5"/>
      <c r="H82" s="5"/>
      <c r="I82" s="5"/>
      <c r="J82" s="5"/>
      <c r="K82" s="5"/>
      <c r="L82" s="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8" customHeight="1">
      <c r="A83" s="7"/>
      <c r="B83" s="89" t="s">
        <v>4</v>
      </c>
      <c r="C83" s="95"/>
      <c r="D83" s="92"/>
      <c r="E83" s="92"/>
      <c r="F83" s="5"/>
      <c r="G83" s="5"/>
      <c r="H83" s="5"/>
      <c r="I83" s="5"/>
      <c r="J83" s="5"/>
      <c r="K83" s="5"/>
      <c r="L83" s="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8" customHeight="1">
      <c r="A84" s="7"/>
      <c r="B84" s="89" t="s">
        <v>4</v>
      </c>
      <c r="C84" s="95"/>
      <c r="D84" s="92"/>
      <c r="E84" s="92"/>
      <c r="F84" s="5"/>
      <c r="G84" s="5"/>
      <c r="H84" s="5"/>
      <c r="I84" s="5"/>
      <c r="J84" s="5"/>
      <c r="K84" s="5"/>
      <c r="L84" s="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8" customHeight="1">
      <c r="A85" s="7"/>
      <c r="B85" s="89" t="s">
        <v>4</v>
      </c>
      <c r="C85" s="95"/>
      <c r="D85" s="92"/>
      <c r="E85" s="92"/>
      <c r="F85" s="5"/>
      <c r="G85" s="5"/>
      <c r="H85" s="5"/>
      <c r="I85" s="5"/>
      <c r="J85" s="5"/>
      <c r="K85" s="5"/>
      <c r="L85" s="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8" customHeight="1">
      <c r="A86" s="7"/>
      <c r="B86" s="89" t="s">
        <v>4</v>
      </c>
      <c r="C86" s="95"/>
      <c r="D86" s="92"/>
      <c r="E86" s="92"/>
      <c r="F86" s="5"/>
      <c r="G86" s="5"/>
      <c r="H86" s="5"/>
      <c r="I86" s="5"/>
      <c r="J86" s="5"/>
      <c r="K86" s="5"/>
      <c r="L86" s="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8" customHeight="1">
      <c r="A87" s="7"/>
      <c r="B87" s="89" t="s">
        <v>4</v>
      </c>
      <c r="C87" s="95"/>
      <c r="D87" s="92"/>
      <c r="E87" s="92"/>
      <c r="F87" s="5"/>
      <c r="G87" s="5"/>
      <c r="H87" s="5"/>
      <c r="I87" s="5"/>
      <c r="J87" s="5"/>
      <c r="K87" s="5"/>
      <c r="L87" s="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8" customHeight="1">
      <c r="A88" s="7"/>
      <c r="B88" s="89" t="s">
        <v>4</v>
      </c>
      <c r="C88" s="95"/>
      <c r="D88" s="92"/>
      <c r="E88" s="92"/>
      <c r="F88" s="5"/>
      <c r="G88" s="5"/>
      <c r="H88" s="5"/>
      <c r="I88" s="5"/>
      <c r="J88" s="5"/>
      <c r="K88" s="5"/>
      <c r="L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8" customHeight="1">
      <c r="A89" s="7"/>
      <c r="B89" s="89" t="s">
        <v>4</v>
      </c>
      <c r="C89" s="95"/>
      <c r="D89" s="92"/>
      <c r="E89" s="92"/>
      <c r="F89" s="5"/>
      <c r="G89" s="5"/>
      <c r="H89" s="5"/>
      <c r="I89" s="5"/>
      <c r="J89" s="5"/>
      <c r="K89" s="5"/>
      <c r="L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8" customHeight="1">
      <c r="A90" s="7"/>
      <c r="B90" s="89" t="s">
        <v>4</v>
      </c>
      <c r="C90" s="95"/>
      <c r="D90" s="92"/>
      <c r="E90" s="92"/>
      <c r="F90" s="5"/>
      <c r="G90" s="5"/>
      <c r="H90" s="5"/>
      <c r="I90" s="5"/>
      <c r="J90" s="5"/>
      <c r="K90" s="5"/>
      <c r="L90" s="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8" customHeight="1">
      <c r="A91" s="7"/>
      <c r="B91" s="89" t="s">
        <v>4</v>
      </c>
      <c r="C91" s="95"/>
      <c r="D91" s="92"/>
      <c r="E91" s="92"/>
      <c r="F91" s="5"/>
      <c r="G91" s="5"/>
      <c r="H91" s="5"/>
      <c r="I91" s="5"/>
      <c r="J91" s="5"/>
      <c r="K91" s="5"/>
      <c r="L91" s="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8" customHeight="1">
      <c r="A92" s="7"/>
      <c r="B92" s="89" t="s">
        <v>4</v>
      </c>
      <c r="C92" s="95"/>
      <c r="D92" s="92"/>
      <c r="E92" s="92"/>
      <c r="F92" s="5"/>
      <c r="G92" s="5"/>
      <c r="H92" s="5"/>
      <c r="I92" s="5"/>
      <c r="J92" s="5"/>
      <c r="K92" s="5"/>
      <c r="L92" s="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8" customHeight="1">
      <c r="A93" s="7"/>
      <c r="B93" s="89" t="s">
        <v>4</v>
      </c>
      <c r="C93" s="95"/>
      <c r="D93" s="92"/>
      <c r="E93" s="92"/>
      <c r="F93" s="5"/>
      <c r="G93" s="5"/>
      <c r="H93" s="5"/>
      <c r="I93" s="5"/>
      <c r="J93" s="5"/>
      <c r="K93" s="5"/>
      <c r="L93" s="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customHeight="1">
      <c r="A94" s="7"/>
      <c r="B94" s="89" t="s">
        <v>4</v>
      </c>
      <c r="C94" s="95"/>
      <c r="D94" s="92"/>
      <c r="E94" s="92"/>
      <c r="F94" s="5"/>
      <c r="G94" s="5"/>
      <c r="H94" s="5"/>
      <c r="I94" s="5"/>
      <c r="J94" s="5"/>
      <c r="K94" s="5"/>
      <c r="L94" s="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8" customHeight="1">
      <c r="A95" s="7"/>
      <c r="B95" s="89" t="s">
        <v>4</v>
      </c>
      <c r="C95" s="95"/>
      <c r="D95" s="92"/>
      <c r="E95" s="92"/>
      <c r="F95" s="5"/>
      <c r="G95" s="5"/>
      <c r="H95" s="5"/>
      <c r="I95" s="5"/>
      <c r="J95" s="5"/>
      <c r="K95" s="5"/>
      <c r="L95" s="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8" customHeight="1">
      <c r="A96" s="7"/>
      <c r="B96" s="89" t="s">
        <v>4</v>
      </c>
      <c r="C96" s="95"/>
      <c r="D96" s="92"/>
      <c r="E96" s="92"/>
      <c r="F96" s="5"/>
      <c r="G96" s="5"/>
      <c r="H96" s="5"/>
      <c r="I96" s="5"/>
      <c r="J96" s="5"/>
      <c r="K96" s="5"/>
      <c r="L96" s="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8" customHeight="1">
      <c r="A97" s="7"/>
      <c r="B97" s="89" t="s">
        <v>4</v>
      </c>
      <c r="C97" s="95"/>
      <c r="D97" s="92"/>
      <c r="E97" s="92"/>
      <c r="F97" s="5"/>
      <c r="G97" s="5"/>
      <c r="H97" s="5"/>
      <c r="I97" s="5"/>
      <c r="J97" s="5"/>
      <c r="K97" s="5"/>
      <c r="L97" s="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8" customHeight="1">
      <c r="A98" s="7"/>
      <c r="B98" s="89" t="s">
        <v>4</v>
      </c>
      <c r="C98" s="95"/>
      <c r="D98" s="92"/>
      <c r="E98" s="92"/>
      <c r="F98" s="5"/>
      <c r="G98" s="5"/>
      <c r="H98" s="5"/>
      <c r="I98" s="5"/>
      <c r="J98" s="5"/>
      <c r="K98" s="5"/>
      <c r="L98" s="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8" customHeight="1">
      <c r="A99" s="7"/>
      <c r="B99" s="89" t="s">
        <v>4</v>
      </c>
      <c r="C99" s="95"/>
      <c r="D99" s="92"/>
      <c r="E99" s="92"/>
      <c r="F99" s="5"/>
      <c r="G99" s="5"/>
      <c r="H99" s="5"/>
      <c r="I99" s="5"/>
      <c r="J99" s="5"/>
      <c r="K99" s="5"/>
      <c r="L99" s="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8" customHeight="1">
      <c r="A100" s="7"/>
      <c r="B100" s="89" t="s">
        <v>4</v>
      </c>
      <c r="C100" s="95"/>
      <c r="D100" s="92"/>
      <c r="E100" s="92"/>
      <c r="F100" s="5"/>
      <c r="G100" s="5"/>
      <c r="H100" s="5"/>
      <c r="I100" s="5"/>
      <c r="J100" s="5"/>
      <c r="K100" s="5"/>
      <c r="L100" s="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8" customHeight="1">
      <c r="A101" s="7"/>
      <c r="B101" s="5"/>
      <c r="C101" s="95"/>
      <c r="D101" s="92"/>
      <c r="E101" s="92"/>
      <c r="F101" s="5"/>
      <c r="G101" s="5"/>
      <c r="H101" s="5"/>
      <c r="I101" s="5"/>
      <c r="J101" s="5"/>
      <c r="K101" s="5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8" customHeight="1">
      <c r="A102" s="7"/>
      <c r="B102" s="5"/>
      <c r="C102" s="95"/>
      <c r="D102" s="92"/>
      <c r="E102" s="92"/>
      <c r="F102" s="5"/>
      <c r="G102" s="5"/>
      <c r="H102" s="5"/>
      <c r="I102" s="5"/>
      <c r="J102" s="5"/>
      <c r="K102" s="5"/>
      <c r="L102" s="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8" customHeight="1">
      <c r="A103" s="7"/>
      <c r="B103" s="5"/>
      <c r="C103" s="95"/>
      <c r="D103" s="92"/>
      <c r="E103" s="92"/>
      <c r="F103" s="5"/>
      <c r="G103" s="5"/>
      <c r="H103" s="5"/>
      <c r="I103" s="5"/>
      <c r="J103" s="5"/>
      <c r="K103" s="5"/>
      <c r="L103" s="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8" customHeight="1">
      <c r="A104" s="7"/>
      <c r="B104" s="5"/>
      <c r="C104" s="95"/>
      <c r="D104" s="92"/>
      <c r="E104" s="92"/>
      <c r="F104" s="5"/>
      <c r="G104" s="5"/>
      <c r="H104" s="5"/>
      <c r="I104" s="5"/>
      <c r="J104" s="5"/>
      <c r="K104" s="5"/>
      <c r="L104" s="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8" customHeight="1">
      <c r="A105" s="7"/>
      <c r="B105" s="5"/>
      <c r="C105" s="95"/>
      <c r="D105" s="92"/>
      <c r="E105" s="92"/>
      <c r="F105" s="5"/>
      <c r="G105" s="5"/>
      <c r="H105" s="5"/>
      <c r="I105" s="5"/>
      <c r="J105" s="5"/>
      <c r="K105" s="5"/>
      <c r="L105" s="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8" customHeight="1">
      <c r="A106" s="7"/>
      <c r="B106" s="5"/>
      <c r="C106" s="95"/>
      <c r="D106" s="92"/>
      <c r="E106" s="92"/>
      <c r="F106" s="5"/>
      <c r="G106" s="5"/>
      <c r="H106" s="5"/>
      <c r="I106" s="5"/>
      <c r="J106" s="5"/>
      <c r="K106" s="5"/>
      <c r="L106" s="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8" customHeight="1">
      <c r="A107" s="7"/>
      <c r="B107" s="5"/>
      <c r="C107" s="95"/>
      <c r="D107" s="92"/>
      <c r="E107" s="92"/>
      <c r="F107" s="5"/>
      <c r="G107" s="5"/>
      <c r="H107" s="5"/>
      <c r="I107" s="5"/>
      <c r="J107" s="5"/>
      <c r="K107" s="5"/>
      <c r="L107" s="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8" customHeight="1">
      <c r="A108" s="7"/>
      <c r="B108" s="5"/>
      <c r="C108" s="95"/>
      <c r="D108" s="92"/>
      <c r="E108" s="92"/>
      <c r="F108" s="5"/>
      <c r="G108" s="5"/>
      <c r="H108" s="5"/>
      <c r="I108" s="5"/>
      <c r="J108" s="5"/>
      <c r="K108" s="5"/>
      <c r="L108" s="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8" customHeight="1">
      <c r="A109" s="7"/>
      <c r="B109" s="5"/>
      <c r="C109" s="95"/>
      <c r="D109" s="92"/>
      <c r="E109" s="92"/>
      <c r="F109" s="5"/>
      <c r="G109" s="5"/>
      <c r="H109" s="5"/>
      <c r="I109" s="5"/>
      <c r="J109" s="5"/>
      <c r="K109" s="5"/>
      <c r="L109" s="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8" customHeight="1">
      <c r="A110" s="7"/>
      <c r="B110" s="5"/>
      <c r="C110" s="95"/>
      <c r="D110" s="92"/>
      <c r="E110" s="92"/>
      <c r="F110" s="5"/>
      <c r="G110" s="5"/>
      <c r="H110" s="5"/>
      <c r="I110" s="5"/>
      <c r="J110" s="5"/>
      <c r="K110" s="5"/>
      <c r="L110" s="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8" customHeight="1">
      <c r="A111" s="7"/>
      <c r="B111" s="5"/>
      <c r="C111" s="95"/>
      <c r="D111" s="92"/>
      <c r="E111" s="92"/>
      <c r="F111" s="5"/>
      <c r="G111" s="5"/>
      <c r="H111" s="5"/>
      <c r="I111" s="5"/>
      <c r="J111" s="5"/>
      <c r="K111" s="5"/>
      <c r="L111" s="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8" customHeight="1">
      <c r="A112" s="7"/>
      <c r="B112" s="5"/>
      <c r="C112" s="95"/>
      <c r="D112" s="92"/>
      <c r="E112" s="92"/>
      <c r="F112" s="5"/>
      <c r="G112" s="5"/>
      <c r="H112" s="5"/>
      <c r="I112" s="5"/>
      <c r="J112" s="5"/>
      <c r="K112" s="5"/>
      <c r="L112" s="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8" customHeight="1">
      <c r="A113" s="7"/>
      <c r="B113" s="5"/>
      <c r="C113" s="95"/>
      <c r="D113" s="92"/>
      <c r="E113" s="92"/>
      <c r="F113" s="5"/>
      <c r="G113" s="5"/>
      <c r="H113" s="5"/>
      <c r="I113" s="5"/>
      <c r="J113" s="5"/>
      <c r="K113" s="5"/>
      <c r="L113" s="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8" customHeight="1">
      <c r="A114" s="7"/>
      <c r="B114" s="5"/>
      <c r="C114" s="95"/>
      <c r="D114" s="92"/>
      <c r="E114" s="92"/>
      <c r="F114" s="5"/>
      <c r="G114" s="5"/>
      <c r="H114" s="5"/>
      <c r="I114" s="5"/>
      <c r="J114" s="5"/>
      <c r="K114" s="5"/>
      <c r="L114" s="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8" customHeight="1">
      <c r="A115" s="7"/>
      <c r="B115" s="5"/>
      <c r="C115" s="95"/>
      <c r="D115" s="92"/>
      <c r="E115" s="92"/>
      <c r="F115" s="5"/>
      <c r="G115" s="5"/>
      <c r="H115" s="5"/>
      <c r="I115" s="5"/>
      <c r="J115" s="5"/>
      <c r="K115" s="5"/>
      <c r="L115" s="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8" customHeight="1">
      <c r="A116" s="7"/>
      <c r="B116" s="5"/>
      <c r="C116" s="95"/>
      <c r="D116" s="92"/>
      <c r="E116" s="92"/>
      <c r="F116" s="5"/>
      <c r="G116" s="5"/>
      <c r="H116" s="5"/>
      <c r="I116" s="5"/>
      <c r="J116" s="5"/>
      <c r="K116" s="5"/>
      <c r="L116" s="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8" customHeight="1">
      <c r="A117" s="7"/>
      <c r="B117" s="5"/>
      <c r="C117" s="95"/>
      <c r="D117" s="92"/>
      <c r="E117" s="92"/>
      <c r="F117" s="5"/>
      <c r="G117" s="5"/>
      <c r="H117" s="5"/>
      <c r="I117" s="5"/>
      <c r="J117" s="5"/>
      <c r="K117" s="5"/>
      <c r="L117" s="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8" customHeight="1">
      <c r="A118" s="7"/>
      <c r="B118" s="5"/>
      <c r="C118" s="95"/>
      <c r="D118" s="92"/>
      <c r="E118" s="92"/>
      <c r="F118" s="5"/>
      <c r="G118" s="5"/>
      <c r="H118" s="5"/>
      <c r="I118" s="5"/>
      <c r="J118" s="5"/>
      <c r="K118" s="5"/>
      <c r="L118" s="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8" customHeight="1">
      <c r="A119" s="7"/>
      <c r="B119" s="5"/>
      <c r="C119" s="95"/>
      <c r="D119" s="92"/>
      <c r="E119" s="92"/>
      <c r="F119" s="5"/>
      <c r="G119" s="5"/>
      <c r="H119" s="5"/>
      <c r="I119" s="5"/>
      <c r="J119" s="5"/>
      <c r="K119" s="5"/>
      <c r="L119" s="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8" customHeight="1">
      <c r="A120" s="7"/>
      <c r="B120" s="5"/>
      <c r="C120" s="95"/>
      <c r="D120" s="92"/>
      <c r="E120" s="92"/>
      <c r="F120" s="5"/>
      <c r="G120" s="5"/>
      <c r="H120" s="5"/>
      <c r="I120" s="5"/>
      <c r="J120" s="5"/>
      <c r="K120" s="5"/>
      <c r="L120" s="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8" customHeight="1">
      <c r="A121" s="7"/>
      <c r="B121" s="5"/>
      <c r="C121" s="95"/>
      <c r="D121" s="92"/>
      <c r="E121" s="92"/>
      <c r="F121" s="5"/>
      <c r="G121" s="5"/>
      <c r="H121" s="5"/>
      <c r="I121" s="5"/>
      <c r="J121" s="5"/>
      <c r="K121" s="5"/>
      <c r="L121" s="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8" customHeight="1">
      <c r="A122" s="7"/>
      <c r="B122" s="5"/>
      <c r="C122" s="95"/>
      <c r="D122" s="92"/>
      <c r="E122" s="92"/>
      <c r="F122" s="5"/>
      <c r="G122" s="5"/>
      <c r="H122" s="5"/>
      <c r="I122" s="5"/>
      <c r="J122" s="5"/>
      <c r="K122" s="5"/>
      <c r="L122" s="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8" customHeight="1">
      <c r="A123" s="7"/>
      <c r="B123" s="5"/>
      <c r="C123" s="95"/>
      <c r="D123" s="92"/>
      <c r="E123" s="92"/>
      <c r="F123" s="5"/>
      <c r="G123" s="5"/>
      <c r="H123" s="5"/>
      <c r="I123" s="5"/>
      <c r="J123" s="5"/>
      <c r="K123" s="5"/>
      <c r="L123" s="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8" customHeight="1">
      <c r="A124" s="7"/>
      <c r="B124" s="5"/>
      <c r="C124" s="95"/>
      <c r="D124" s="92"/>
      <c r="E124" s="92"/>
      <c r="F124" s="5"/>
      <c r="G124" s="5"/>
      <c r="H124" s="5"/>
      <c r="I124" s="5"/>
      <c r="J124" s="5"/>
      <c r="K124" s="5"/>
      <c r="L124" s="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8" customHeight="1">
      <c r="A125" s="7"/>
      <c r="B125" s="5"/>
      <c r="C125" s="95"/>
      <c r="D125" s="92"/>
      <c r="E125" s="92"/>
      <c r="F125" s="5"/>
      <c r="G125" s="5"/>
      <c r="H125" s="5"/>
      <c r="I125" s="5"/>
      <c r="J125" s="5"/>
      <c r="K125" s="5"/>
      <c r="L125" s="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8" customHeight="1">
      <c r="A126" s="7"/>
      <c r="B126" s="5"/>
      <c r="C126" s="95"/>
      <c r="D126" s="92"/>
      <c r="E126" s="92"/>
      <c r="F126" s="5"/>
      <c r="G126" s="5"/>
      <c r="H126" s="5"/>
      <c r="I126" s="5"/>
      <c r="J126" s="5"/>
      <c r="K126" s="5"/>
      <c r="L126" s="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8" customHeight="1">
      <c r="A127" s="7"/>
      <c r="B127" s="5"/>
      <c r="C127" s="95"/>
      <c r="D127" s="92"/>
      <c r="E127" s="92"/>
      <c r="F127" s="5"/>
      <c r="G127" s="5"/>
      <c r="H127" s="5"/>
      <c r="I127" s="5"/>
      <c r="J127" s="5"/>
      <c r="K127" s="5"/>
      <c r="L127" s="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8" customHeight="1">
      <c r="A128" s="7"/>
      <c r="B128" s="5"/>
      <c r="C128" s="95"/>
      <c r="D128" s="92"/>
      <c r="E128" s="92"/>
      <c r="F128" s="5"/>
      <c r="G128" s="5"/>
      <c r="H128" s="5"/>
      <c r="I128" s="5"/>
      <c r="J128" s="5"/>
      <c r="K128" s="5"/>
      <c r="L128" s="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8" customHeight="1">
      <c r="A129" s="7"/>
      <c r="B129" s="5"/>
      <c r="C129" s="95"/>
      <c r="D129" s="92"/>
      <c r="E129" s="92"/>
      <c r="F129" s="5"/>
      <c r="G129" s="5"/>
      <c r="H129" s="5"/>
      <c r="I129" s="5"/>
      <c r="J129" s="5"/>
      <c r="K129" s="5"/>
      <c r="L129" s="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8" customHeight="1">
      <c r="A130" s="7"/>
      <c r="B130" s="5"/>
      <c r="C130" s="95"/>
      <c r="D130" s="92"/>
      <c r="E130" s="92"/>
      <c r="F130" s="5"/>
      <c r="G130" s="5"/>
      <c r="H130" s="5"/>
      <c r="I130" s="5"/>
      <c r="J130" s="5"/>
      <c r="K130" s="5"/>
      <c r="L130" s="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8" customHeight="1">
      <c r="A131" s="7"/>
      <c r="B131" s="5"/>
      <c r="C131" s="95"/>
      <c r="D131" s="92"/>
      <c r="E131" s="92"/>
      <c r="F131" s="5"/>
      <c r="G131" s="5"/>
      <c r="H131" s="5"/>
      <c r="I131" s="5"/>
      <c r="J131" s="5"/>
      <c r="K131" s="5"/>
      <c r="L131" s="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8" customHeight="1">
      <c r="A132" s="7"/>
      <c r="B132" s="5"/>
      <c r="C132" s="95"/>
      <c r="D132" s="92"/>
      <c r="E132" s="92"/>
      <c r="F132" s="5"/>
      <c r="G132" s="5"/>
      <c r="H132" s="5"/>
      <c r="I132" s="5"/>
      <c r="J132" s="5"/>
      <c r="K132" s="5"/>
      <c r="L132" s="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8" customHeight="1">
      <c r="A133" s="7"/>
      <c r="B133" s="5"/>
      <c r="C133" s="95"/>
      <c r="D133" s="92"/>
      <c r="E133" s="92"/>
      <c r="F133" s="5"/>
      <c r="G133" s="5"/>
      <c r="H133" s="5"/>
      <c r="I133" s="5"/>
      <c r="J133" s="5"/>
      <c r="K133" s="5"/>
      <c r="L133" s="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8" customHeight="1">
      <c r="A134" s="7"/>
      <c r="B134" s="5"/>
      <c r="C134" s="95"/>
      <c r="D134" s="92"/>
      <c r="E134" s="92"/>
      <c r="F134" s="5"/>
      <c r="G134" s="5"/>
      <c r="H134" s="5"/>
      <c r="I134" s="5"/>
      <c r="J134" s="5"/>
      <c r="K134" s="5"/>
      <c r="L134" s="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8" customHeight="1">
      <c r="A135" s="7"/>
      <c r="B135" s="5"/>
      <c r="C135" s="95"/>
      <c r="D135" s="92"/>
      <c r="E135" s="92"/>
      <c r="F135" s="5"/>
      <c r="G135" s="5"/>
      <c r="H135" s="5"/>
      <c r="I135" s="5"/>
      <c r="J135" s="5"/>
      <c r="K135" s="5"/>
      <c r="L135" s="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8" customHeight="1">
      <c r="A136" s="7"/>
      <c r="B136" s="5"/>
      <c r="C136" s="95"/>
      <c r="D136" s="92"/>
      <c r="E136" s="92"/>
      <c r="F136" s="5"/>
      <c r="G136" s="5"/>
      <c r="H136" s="5"/>
      <c r="I136" s="5"/>
      <c r="J136" s="5"/>
      <c r="K136" s="5"/>
      <c r="L136" s="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8" customHeight="1">
      <c r="A137" s="7"/>
      <c r="B137" s="5"/>
      <c r="C137" s="95"/>
      <c r="D137" s="92"/>
      <c r="E137" s="92"/>
      <c r="F137" s="5"/>
      <c r="G137" s="5"/>
      <c r="H137" s="5"/>
      <c r="I137" s="5"/>
      <c r="J137" s="5"/>
      <c r="K137" s="5"/>
      <c r="L137" s="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8" customHeight="1">
      <c r="A138" s="7"/>
      <c r="B138" s="5"/>
      <c r="C138" s="95"/>
      <c r="D138" s="92"/>
      <c r="E138" s="92"/>
      <c r="F138" s="5"/>
      <c r="G138" s="5"/>
      <c r="H138" s="5"/>
      <c r="I138" s="5"/>
      <c r="J138" s="5"/>
      <c r="K138" s="5"/>
      <c r="L138" s="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8" customHeight="1">
      <c r="A139" s="7"/>
      <c r="B139" s="5"/>
      <c r="C139" s="95"/>
      <c r="D139" s="92"/>
      <c r="E139" s="92"/>
      <c r="F139" s="5"/>
      <c r="G139" s="5"/>
      <c r="H139" s="5"/>
      <c r="I139" s="5"/>
      <c r="J139" s="5"/>
      <c r="K139" s="5"/>
      <c r="L139" s="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8" customHeight="1">
      <c r="A140" s="7"/>
      <c r="B140" s="5"/>
      <c r="C140" s="95"/>
      <c r="D140" s="92"/>
      <c r="E140" s="92"/>
      <c r="F140" s="5"/>
      <c r="G140" s="5"/>
      <c r="H140" s="5"/>
      <c r="I140" s="5"/>
      <c r="J140" s="5"/>
      <c r="K140" s="5"/>
      <c r="L140" s="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8" customHeight="1">
      <c r="A141" s="7"/>
      <c r="B141" s="5"/>
      <c r="C141" s="95"/>
      <c r="D141" s="92"/>
      <c r="E141" s="92"/>
      <c r="F141" s="5"/>
      <c r="G141" s="5"/>
      <c r="H141" s="5"/>
      <c r="I141" s="5"/>
      <c r="J141" s="5"/>
      <c r="K141" s="5"/>
      <c r="L141" s="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8" customHeight="1">
      <c r="A142" s="7"/>
      <c r="B142" s="5"/>
      <c r="C142" s="95"/>
      <c r="D142" s="92"/>
      <c r="E142" s="92"/>
      <c r="F142" s="5"/>
      <c r="G142" s="5"/>
      <c r="H142" s="5"/>
      <c r="I142" s="5"/>
      <c r="J142" s="5"/>
      <c r="K142" s="5"/>
      <c r="L142" s="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8" customHeight="1">
      <c r="A143" s="7"/>
      <c r="B143" s="5"/>
      <c r="C143" s="95"/>
      <c r="D143" s="92"/>
      <c r="E143" s="92"/>
      <c r="F143" s="5"/>
      <c r="G143" s="5"/>
      <c r="H143" s="5"/>
      <c r="I143" s="5"/>
      <c r="J143" s="5"/>
      <c r="K143" s="5"/>
      <c r="L143" s="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8" customHeight="1">
      <c r="A144" s="7"/>
      <c r="B144" s="5"/>
      <c r="C144" s="95"/>
      <c r="D144" s="92"/>
      <c r="E144" s="92"/>
      <c r="F144" s="5"/>
      <c r="G144" s="5"/>
      <c r="H144" s="5"/>
      <c r="I144" s="5"/>
      <c r="J144" s="5"/>
      <c r="K144" s="5"/>
      <c r="L144" s="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8" customHeight="1">
      <c r="A145" s="7"/>
      <c r="B145" s="5"/>
      <c r="C145" s="95"/>
      <c r="D145" s="92"/>
      <c r="E145" s="92"/>
      <c r="F145" s="5"/>
      <c r="G145" s="5"/>
      <c r="H145" s="5"/>
      <c r="I145" s="5"/>
      <c r="J145" s="5"/>
      <c r="K145" s="5"/>
      <c r="L145" s="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8" customHeight="1">
      <c r="A146" s="7"/>
      <c r="B146" s="5"/>
      <c r="C146" s="95"/>
      <c r="D146" s="92"/>
      <c r="E146" s="92"/>
      <c r="F146" s="5"/>
      <c r="G146" s="5"/>
      <c r="H146" s="5"/>
      <c r="I146" s="5"/>
      <c r="J146" s="5"/>
      <c r="K146" s="5"/>
      <c r="L146" s="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8" customHeight="1">
      <c r="A147" s="7"/>
      <c r="B147" s="5"/>
      <c r="C147" s="95"/>
      <c r="D147" s="92"/>
      <c r="E147" s="92"/>
      <c r="F147" s="5"/>
      <c r="G147" s="5"/>
      <c r="H147" s="5"/>
      <c r="I147" s="5"/>
      <c r="J147" s="5"/>
      <c r="K147" s="5"/>
      <c r="L147" s="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8" customHeight="1">
      <c r="A148" s="7"/>
      <c r="B148" s="5"/>
      <c r="C148" s="95"/>
      <c r="D148" s="92"/>
      <c r="E148" s="92"/>
      <c r="F148" s="5"/>
      <c r="G148" s="5"/>
      <c r="H148" s="5"/>
      <c r="I148" s="5"/>
      <c r="J148" s="5"/>
      <c r="K148" s="5"/>
      <c r="L148" s="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8" customHeight="1">
      <c r="A149" s="7"/>
      <c r="B149" s="5"/>
      <c r="C149" s="95"/>
      <c r="D149" s="92"/>
      <c r="E149" s="92"/>
      <c r="F149" s="5"/>
      <c r="G149" s="5"/>
      <c r="H149" s="5"/>
      <c r="I149" s="5"/>
      <c r="J149" s="5"/>
      <c r="K149" s="5"/>
      <c r="L149" s="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8" customHeight="1">
      <c r="A150" s="7"/>
      <c r="B150" s="5"/>
      <c r="C150" s="95"/>
      <c r="D150" s="92"/>
      <c r="E150" s="92"/>
      <c r="F150" s="5"/>
      <c r="G150" s="5"/>
      <c r="H150" s="5"/>
      <c r="I150" s="5"/>
      <c r="J150" s="5"/>
      <c r="K150" s="5"/>
      <c r="L150" s="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8" customHeight="1">
      <c r="A151" s="7"/>
      <c r="B151" s="5"/>
      <c r="C151" s="95"/>
      <c r="D151" s="92"/>
      <c r="E151" s="92"/>
      <c r="F151" s="5"/>
      <c r="G151" s="5"/>
      <c r="H151" s="5"/>
      <c r="I151" s="5"/>
      <c r="J151" s="5"/>
      <c r="K151" s="5"/>
      <c r="L151" s="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8" customHeight="1">
      <c r="A152" s="7"/>
      <c r="B152" s="5"/>
      <c r="C152" s="95"/>
      <c r="D152" s="92"/>
      <c r="E152" s="92"/>
      <c r="F152" s="5"/>
      <c r="G152" s="5"/>
      <c r="H152" s="5"/>
      <c r="I152" s="5"/>
      <c r="J152" s="5"/>
      <c r="K152" s="5"/>
      <c r="L152" s="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8" customHeight="1">
      <c r="A153" s="7"/>
      <c r="B153" s="5"/>
      <c r="C153" s="95"/>
      <c r="D153" s="92"/>
      <c r="E153" s="92"/>
      <c r="F153" s="5"/>
      <c r="G153" s="5"/>
      <c r="H153" s="5"/>
      <c r="I153" s="5"/>
      <c r="J153" s="5"/>
      <c r="K153" s="5"/>
      <c r="L153" s="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8" customHeight="1">
      <c r="A154" s="7"/>
      <c r="B154" s="5"/>
      <c r="C154" s="95"/>
      <c r="D154" s="92"/>
      <c r="E154" s="92"/>
      <c r="F154" s="5"/>
      <c r="G154" s="5"/>
      <c r="H154" s="5"/>
      <c r="I154" s="5"/>
      <c r="J154" s="5"/>
      <c r="K154" s="5"/>
      <c r="L154" s="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8" customHeight="1">
      <c r="A155" s="7"/>
      <c r="B155" s="5"/>
      <c r="C155" s="95"/>
      <c r="D155" s="92"/>
      <c r="E155" s="92"/>
      <c r="F155" s="5"/>
      <c r="G155" s="5"/>
      <c r="H155" s="5"/>
      <c r="I155" s="5"/>
      <c r="J155" s="5"/>
      <c r="K155" s="5"/>
      <c r="L155" s="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8" customHeight="1">
      <c r="A156" s="7"/>
      <c r="B156" s="5"/>
      <c r="C156" s="95"/>
      <c r="D156" s="92"/>
      <c r="E156" s="92"/>
      <c r="F156" s="5"/>
      <c r="G156" s="5"/>
      <c r="H156" s="5"/>
      <c r="I156" s="5"/>
      <c r="J156" s="5"/>
      <c r="K156" s="5"/>
      <c r="L156" s="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8" customHeight="1">
      <c r="A157" s="7"/>
      <c r="B157" s="5"/>
      <c r="C157" s="95"/>
      <c r="D157" s="92"/>
      <c r="E157" s="92"/>
      <c r="F157" s="5"/>
      <c r="G157" s="5"/>
      <c r="H157" s="5"/>
      <c r="I157" s="5"/>
      <c r="J157" s="5"/>
      <c r="K157" s="5"/>
      <c r="L157" s="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8" customHeight="1">
      <c r="A158" s="7"/>
      <c r="B158" s="5"/>
      <c r="C158" s="95"/>
      <c r="D158" s="92"/>
      <c r="E158" s="92"/>
      <c r="F158" s="5"/>
      <c r="G158" s="5"/>
      <c r="H158" s="5"/>
      <c r="I158" s="5"/>
      <c r="J158" s="5"/>
      <c r="K158" s="5"/>
      <c r="L158" s="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8" customHeight="1">
      <c r="A159" s="7"/>
      <c r="B159" s="5"/>
      <c r="C159" s="95"/>
      <c r="D159" s="92"/>
      <c r="E159" s="92"/>
      <c r="F159" s="5"/>
      <c r="G159" s="5"/>
      <c r="H159" s="5"/>
      <c r="I159" s="5"/>
      <c r="J159" s="5"/>
      <c r="K159" s="5"/>
      <c r="L159" s="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8" customHeight="1">
      <c r="A160" s="7"/>
      <c r="B160" s="5"/>
      <c r="C160" s="95"/>
      <c r="D160" s="92"/>
      <c r="E160" s="92"/>
      <c r="F160" s="5"/>
      <c r="G160" s="5"/>
      <c r="H160" s="5"/>
      <c r="I160" s="5"/>
      <c r="J160" s="5"/>
      <c r="K160" s="5"/>
      <c r="L160" s="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8" customHeight="1">
      <c r="A161" s="7"/>
      <c r="B161" s="5"/>
      <c r="C161" s="95"/>
      <c r="D161" s="92"/>
      <c r="E161" s="92"/>
      <c r="F161" s="5"/>
      <c r="G161" s="5"/>
      <c r="H161" s="5"/>
      <c r="I161" s="5"/>
      <c r="J161" s="5"/>
      <c r="K161" s="5"/>
      <c r="L161" s="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8" customHeight="1">
      <c r="A162" s="7"/>
      <c r="B162" s="5"/>
      <c r="C162" s="95"/>
      <c r="D162" s="92"/>
      <c r="E162" s="92"/>
      <c r="F162" s="5"/>
      <c r="G162" s="5"/>
      <c r="H162" s="5"/>
      <c r="I162" s="5"/>
      <c r="J162" s="5"/>
      <c r="K162" s="5"/>
      <c r="L162" s="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8" customHeight="1">
      <c r="A163" s="7"/>
      <c r="B163" s="5"/>
      <c r="C163" s="95"/>
      <c r="D163" s="92"/>
      <c r="E163" s="92"/>
      <c r="F163" s="5"/>
      <c r="G163" s="5"/>
      <c r="H163" s="5"/>
      <c r="I163" s="5"/>
      <c r="J163" s="5"/>
      <c r="K163" s="5"/>
      <c r="L163" s="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8" customHeight="1">
      <c r="A164" s="7"/>
      <c r="B164" s="5"/>
      <c r="C164" s="95"/>
      <c r="D164" s="92"/>
      <c r="E164" s="92"/>
      <c r="F164" s="5"/>
      <c r="G164" s="5"/>
      <c r="H164" s="5"/>
      <c r="I164" s="5"/>
      <c r="J164" s="5"/>
      <c r="K164" s="5"/>
      <c r="L164" s="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8" customHeight="1">
      <c r="A165" s="7"/>
      <c r="B165" s="5"/>
      <c r="C165" s="95"/>
      <c r="D165" s="92"/>
      <c r="E165" s="92"/>
      <c r="F165" s="5"/>
      <c r="G165" s="5"/>
      <c r="H165" s="5"/>
      <c r="I165" s="5"/>
      <c r="J165" s="5"/>
      <c r="K165" s="5"/>
      <c r="L165" s="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8" customHeight="1">
      <c r="A166" s="7"/>
      <c r="B166" s="5"/>
      <c r="C166" s="95"/>
      <c r="D166" s="92"/>
      <c r="E166" s="92"/>
      <c r="F166" s="5"/>
      <c r="G166" s="5"/>
      <c r="H166" s="5"/>
      <c r="I166" s="5"/>
      <c r="J166" s="5"/>
      <c r="K166" s="5"/>
      <c r="L166" s="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8" customHeight="1">
      <c r="A167" s="7"/>
      <c r="B167" s="5"/>
      <c r="C167" s="95"/>
      <c r="D167" s="92"/>
      <c r="E167" s="92"/>
      <c r="F167" s="5"/>
      <c r="G167" s="5"/>
      <c r="H167" s="5"/>
      <c r="I167" s="5"/>
      <c r="J167" s="5"/>
      <c r="K167" s="5"/>
      <c r="L167" s="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8" customHeight="1">
      <c r="A168" s="7"/>
      <c r="B168" s="5"/>
      <c r="C168" s="95"/>
      <c r="D168" s="92"/>
      <c r="E168" s="92"/>
      <c r="F168" s="5"/>
      <c r="G168" s="5"/>
      <c r="H168" s="5"/>
      <c r="I168" s="5"/>
      <c r="J168" s="5"/>
      <c r="K168" s="5"/>
      <c r="L168" s="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8" customHeight="1">
      <c r="A169" s="7"/>
      <c r="B169" s="5"/>
      <c r="C169" s="95"/>
      <c r="D169" s="92"/>
      <c r="E169" s="92"/>
      <c r="F169" s="5"/>
      <c r="G169" s="5"/>
      <c r="H169" s="5"/>
      <c r="I169" s="5"/>
      <c r="J169" s="5"/>
      <c r="K169" s="5"/>
      <c r="L169" s="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8" customHeight="1">
      <c r="A170" s="7"/>
      <c r="B170" s="5"/>
      <c r="C170" s="95"/>
      <c r="D170" s="92"/>
      <c r="E170" s="92"/>
      <c r="F170" s="5"/>
      <c r="G170" s="5"/>
      <c r="H170" s="5"/>
      <c r="I170" s="5"/>
      <c r="J170" s="5"/>
      <c r="K170" s="5"/>
      <c r="L170" s="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8" customHeight="1">
      <c r="A171" s="7"/>
      <c r="B171" s="5"/>
      <c r="C171" s="95"/>
      <c r="D171" s="92"/>
      <c r="E171" s="92"/>
      <c r="F171" s="5"/>
      <c r="G171" s="5"/>
      <c r="H171" s="5"/>
      <c r="I171" s="5"/>
      <c r="J171" s="5"/>
      <c r="K171" s="5"/>
      <c r="L171" s="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8" customHeight="1">
      <c r="A172" s="7"/>
      <c r="B172" s="5"/>
      <c r="C172" s="95"/>
      <c r="D172" s="92"/>
      <c r="E172" s="92"/>
      <c r="F172" s="5"/>
      <c r="G172" s="5"/>
      <c r="H172" s="5"/>
      <c r="I172" s="5"/>
      <c r="J172" s="5"/>
      <c r="K172" s="5"/>
      <c r="L172" s="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8" customHeight="1">
      <c r="A173" s="7"/>
      <c r="B173" s="5"/>
      <c r="C173" s="95"/>
      <c r="D173" s="92"/>
      <c r="E173" s="92"/>
      <c r="F173" s="5"/>
      <c r="G173" s="5"/>
      <c r="H173" s="5"/>
      <c r="I173" s="5"/>
      <c r="J173" s="5"/>
      <c r="K173" s="5"/>
      <c r="L173" s="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8" customHeight="1">
      <c r="A174" s="7"/>
      <c r="B174" s="5"/>
      <c r="C174" s="95"/>
      <c r="D174" s="92"/>
      <c r="E174" s="92"/>
      <c r="F174" s="5"/>
      <c r="G174" s="5"/>
      <c r="H174" s="5"/>
      <c r="I174" s="5"/>
      <c r="J174" s="5"/>
      <c r="K174" s="5"/>
      <c r="L174" s="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8" customHeight="1">
      <c r="A175" s="7"/>
      <c r="B175" s="5"/>
      <c r="C175" s="95"/>
      <c r="D175" s="92"/>
      <c r="E175" s="92"/>
      <c r="F175" s="5"/>
      <c r="G175" s="5"/>
      <c r="H175" s="5"/>
      <c r="I175" s="5"/>
      <c r="J175" s="5"/>
      <c r="K175" s="5"/>
      <c r="L175" s="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8" customHeight="1">
      <c r="A176" s="7"/>
      <c r="B176" s="5"/>
      <c r="C176" s="95"/>
      <c r="D176" s="92"/>
      <c r="E176" s="92"/>
      <c r="F176" s="5"/>
      <c r="G176" s="5"/>
      <c r="H176" s="5"/>
      <c r="I176" s="5"/>
      <c r="J176" s="5"/>
      <c r="K176" s="5"/>
      <c r="L176" s="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8" customHeight="1">
      <c r="A177" s="7"/>
      <c r="B177" s="5"/>
      <c r="C177" s="95"/>
      <c r="D177" s="92"/>
      <c r="E177" s="92"/>
      <c r="F177" s="5"/>
      <c r="G177" s="5"/>
      <c r="H177" s="5"/>
      <c r="I177" s="5"/>
      <c r="J177" s="5"/>
      <c r="K177" s="5"/>
      <c r="L177" s="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8" customHeight="1">
      <c r="A178" s="7"/>
      <c r="B178" s="5"/>
      <c r="C178" s="95"/>
      <c r="D178" s="92"/>
      <c r="E178" s="92"/>
      <c r="F178" s="5"/>
      <c r="G178" s="5"/>
      <c r="H178" s="5"/>
      <c r="I178" s="5"/>
      <c r="J178" s="5"/>
      <c r="K178" s="5"/>
      <c r="L178" s="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8" customHeight="1">
      <c r="A179" s="7"/>
      <c r="B179" s="5"/>
      <c r="C179" s="95"/>
      <c r="D179" s="92"/>
      <c r="E179" s="92"/>
      <c r="F179" s="5"/>
      <c r="G179" s="5"/>
      <c r="H179" s="5"/>
      <c r="I179" s="5"/>
      <c r="J179" s="5"/>
      <c r="K179" s="5"/>
      <c r="L179" s="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8" customHeight="1">
      <c r="A180" s="7"/>
      <c r="B180" s="5"/>
      <c r="C180" s="95"/>
      <c r="D180" s="92"/>
      <c r="E180" s="92"/>
      <c r="F180" s="5"/>
      <c r="G180" s="5"/>
      <c r="H180" s="5"/>
      <c r="I180" s="5"/>
      <c r="J180" s="5"/>
      <c r="K180" s="5"/>
      <c r="L180" s="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8" customHeight="1">
      <c r="A181" s="7"/>
      <c r="B181" s="5"/>
      <c r="C181" s="95"/>
      <c r="D181" s="92"/>
      <c r="E181" s="92"/>
      <c r="F181" s="5"/>
      <c r="G181" s="5"/>
      <c r="H181" s="5"/>
      <c r="I181" s="5"/>
      <c r="J181" s="5"/>
      <c r="K181" s="5"/>
      <c r="L181" s="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8" customHeight="1">
      <c r="A182" s="7"/>
      <c r="B182" s="5"/>
      <c r="C182" s="95"/>
      <c r="D182" s="92"/>
      <c r="E182" s="92"/>
      <c r="F182" s="5"/>
      <c r="G182" s="5"/>
      <c r="H182" s="5"/>
      <c r="I182" s="5"/>
      <c r="J182" s="5"/>
      <c r="K182" s="5"/>
      <c r="L182" s="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8" customHeight="1">
      <c r="A183" s="7"/>
      <c r="B183" s="5"/>
      <c r="C183" s="95"/>
      <c r="D183" s="92"/>
      <c r="E183" s="92"/>
      <c r="F183" s="5"/>
      <c r="G183" s="5"/>
      <c r="H183" s="5"/>
      <c r="I183" s="5"/>
      <c r="J183" s="5"/>
      <c r="K183" s="5"/>
      <c r="L183" s="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8" customHeight="1">
      <c r="A184" s="7"/>
      <c r="B184" s="5"/>
      <c r="C184" s="95"/>
      <c r="D184" s="92"/>
      <c r="E184" s="92"/>
      <c r="F184" s="5"/>
      <c r="G184" s="5"/>
      <c r="H184" s="5"/>
      <c r="I184" s="5"/>
      <c r="J184" s="5"/>
      <c r="K184" s="5"/>
      <c r="L184" s="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8" customHeight="1">
      <c r="A185" s="7"/>
      <c r="B185" s="5"/>
      <c r="C185" s="95"/>
      <c r="D185" s="92"/>
      <c r="E185" s="92"/>
      <c r="F185" s="5"/>
      <c r="G185" s="5"/>
      <c r="H185" s="5"/>
      <c r="I185" s="5"/>
      <c r="J185" s="5"/>
      <c r="K185" s="5"/>
      <c r="L185" s="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8" customHeight="1">
      <c r="A186" s="7"/>
      <c r="B186" s="5"/>
      <c r="C186" s="95"/>
      <c r="D186" s="92"/>
      <c r="E186" s="92"/>
      <c r="F186" s="5"/>
      <c r="G186" s="5"/>
      <c r="H186" s="5"/>
      <c r="I186" s="5"/>
      <c r="J186" s="5"/>
      <c r="K186" s="5"/>
      <c r="L186" s="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8" customHeight="1">
      <c r="A187" s="7"/>
      <c r="B187" s="5"/>
      <c r="C187" s="95"/>
      <c r="D187" s="92"/>
      <c r="E187" s="92"/>
      <c r="F187" s="5"/>
      <c r="G187" s="5"/>
      <c r="H187" s="5"/>
      <c r="I187" s="5"/>
      <c r="J187" s="5"/>
      <c r="K187" s="5"/>
      <c r="L187" s="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8" customHeight="1">
      <c r="A188" s="7"/>
      <c r="B188" s="5"/>
      <c r="C188" s="95"/>
      <c r="D188" s="92"/>
      <c r="E188" s="92"/>
      <c r="F188" s="5"/>
      <c r="G188" s="5"/>
      <c r="H188" s="5"/>
      <c r="I188" s="5"/>
      <c r="J188" s="5"/>
      <c r="K188" s="5"/>
      <c r="L188" s="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" customHeight="1">
      <c r="A189" s="7"/>
      <c r="B189" s="5"/>
      <c r="C189" s="95"/>
      <c r="D189" s="92"/>
      <c r="E189" s="92"/>
      <c r="F189" s="5"/>
      <c r="G189" s="5"/>
      <c r="H189" s="5"/>
      <c r="I189" s="5"/>
      <c r="J189" s="5"/>
      <c r="K189" s="5"/>
      <c r="L189" s="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" customHeight="1">
      <c r="A190" s="7"/>
      <c r="B190" s="5"/>
      <c r="C190" s="95"/>
      <c r="D190" s="92"/>
      <c r="E190" s="92"/>
      <c r="F190" s="5"/>
      <c r="G190" s="5"/>
      <c r="H190" s="5"/>
      <c r="I190" s="5"/>
      <c r="J190" s="5"/>
      <c r="K190" s="5"/>
      <c r="L190" s="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" customHeight="1">
      <c r="A191" s="7"/>
      <c r="B191" s="5"/>
      <c r="C191" s="95"/>
      <c r="D191" s="92"/>
      <c r="E191" s="92"/>
      <c r="F191" s="5"/>
      <c r="G191" s="5"/>
      <c r="H191" s="5"/>
      <c r="I191" s="5"/>
      <c r="J191" s="5"/>
      <c r="K191" s="5"/>
      <c r="L191" s="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" customHeight="1">
      <c r="A192" s="7"/>
      <c r="B192" s="5"/>
      <c r="C192" s="95"/>
      <c r="D192" s="92"/>
      <c r="E192" s="92"/>
      <c r="F192" s="5"/>
      <c r="G192" s="5"/>
      <c r="H192" s="5"/>
      <c r="I192" s="5"/>
      <c r="J192" s="5"/>
      <c r="K192" s="5"/>
      <c r="L192" s="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" customHeight="1">
      <c r="A193" s="7"/>
      <c r="B193" s="5"/>
      <c r="C193" s="95"/>
      <c r="D193" s="92"/>
      <c r="E193" s="92"/>
      <c r="F193" s="5"/>
      <c r="G193" s="5"/>
      <c r="H193" s="5"/>
      <c r="I193" s="5"/>
      <c r="J193" s="5"/>
      <c r="K193" s="5"/>
      <c r="L193" s="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" customHeight="1">
      <c r="A194" s="7"/>
      <c r="B194" s="5"/>
      <c r="C194" s="95"/>
      <c r="D194" s="92"/>
      <c r="E194" s="92"/>
      <c r="F194" s="5"/>
      <c r="G194" s="5"/>
      <c r="H194" s="5"/>
      <c r="I194" s="5"/>
      <c r="J194" s="5"/>
      <c r="K194" s="5"/>
      <c r="L194" s="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" customHeight="1">
      <c r="A195" s="7"/>
      <c r="B195" s="5"/>
      <c r="C195" s="95"/>
      <c r="D195" s="92"/>
      <c r="E195" s="92"/>
      <c r="F195" s="5"/>
      <c r="G195" s="5"/>
      <c r="H195" s="5"/>
      <c r="I195" s="5"/>
      <c r="J195" s="5"/>
      <c r="K195" s="5"/>
      <c r="L195" s="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" customHeight="1">
      <c r="A196" s="7"/>
      <c r="B196" s="5"/>
      <c r="C196" s="95"/>
      <c r="D196" s="92"/>
      <c r="E196" s="92"/>
      <c r="F196" s="5"/>
      <c r="G196" s="5"/>
      <c r="H196" s="5"/>
      <c r="I196" s="5"/>
      <c r="J196" s="5"/>
      <c r="K196" s="5"/>
      <c r="L196" s="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" customHeight="1">
      <c r="A197" s="7"/>
      <c r="B197" s="5"/>
      <c r="C197" s="95"/>
      <c r="D197" s="92"/>
      <c r="E197" s="92"/>
      <c r="F197" s="5"/>
      <c r="G197" s="5"/>
      <c r="H197" s="5"/>
      <c r="I197" s="5"/>
      <c r="J197" s="5"/>
      <c r="K197" s="5"/>
      <c r="L197" s="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" customHeight="1">
      <c r="A198" s="7"/>
      <c r="B198" s="5"/>
      <c r="C198" s="95"/>
      <c r="D198" s="92"/>
      <c r="E198" s="92"/>
      <c r="F198" s="5"/>
      <c r="G198" s="5"/>
      <c r="H198" s="5"/>
      <c r="I198" s="5"/>
      <c r="J198" s="5"/>
      <c r="K198" s="5"/>
      <c r="L198" s="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" customHeight="1">
      <c r="A199" s="7"/>
      <c r="B199" s="5"/>
      <c r="C199" s="95"/>
      <c r="D199" s="92"/>
      <c r="E199" s="92"/>
      <c r="F199" s="5"/>
      <c r="G199" s="5"/>
      <c r="H199" s="5"/>
      <c r="I199" s="5"/>
      <c r="J199" s="5"/>
      <c r="K199" s="5"/>
      <c r="L199" s="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" customHeight="1">
      <c r="A200" s="7"/>
      <c r="B200" s="5"/>
      <c r="C200" s="95"/>
      <c r="D200" s="92"/>
      <c r="E200" s="92"/>
      <c r="F200" s="5"/>
      <c r="G200" s="5"/>
      <c r="H200" s="5"/>
      <c r="I200" s="5"/>
      <c r="J200" s="5"/>
      <c r="K200" s="5"/>
      <c r="L200" s="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" customHeight="1">
      <c r="A201" s="7"/>
      <c r="B201" s="5"/>
      <c r="C201" s="95"/>
      <c r="D201" s="92"/>
      <c r="E201" s="92"/>
      <c r="F201" s="5"/>
      <c r="G201" s="5"/>
      <c r="H201" s="5"/>
      <c r="I201" s="5"/>
      <c r="J201" s="5"/>
      <c r="K201" s="5"/>
      <c r="L201" s="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" customHeight="1">
      <c r="A202" s="7"/>
      <c r="B202" s="5"/>
      <c r="C202" s="95"/>
      <c r="D202" s="92"/>
      <c r="E202" s="92"/>
      <c r="F202" s="5"/>
      <c r="G202" s="5"/>
      <c r="H202" s="5"/>
      <c r="I202" s="5"/>
      <c r="J202" s="5"/>
      <c r="K202" s="5"/>
      <c r="L202" s="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" customHeight="1">
      <c r="A203" s="7"/>
      <c r="B203" s="5"/>
      <c r="C203" s="95"/>
      <c r="D203" s="92"/>
      <c r="E203" s="92"/>
      <c r="F203" s="5"/>
      <c r="G203" s="5"/>
      <c r="H203" s="5"/>
      <c r="I203" s="5"/>
      <c r="J203" s="5"/>
      <c r="K203" s="5"/>
      <c r="L203" s="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" customHeight="1">
      <c r="A204" s="7"/>
      <c r="B204" s="5"/>
      <c r="C204" s="95"/>
      <c r="D204" s="92"/>
      <c r="E204" s="92"/>
      <c r="F204" s="5"/>
      <c r="G204" s="5"/>
      <c r="H204" s="5"/>
      <c r="I204" s="5"/>
      <c r="J204" s="5"/>
      <c r="K204" s="5"/>
      <c r="L204" s="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" customHeight="1">
      <c r="A205" s="7"/>
      <c r="B205" s="5"/>
      <c r="C205" s="95"/>
      <c r="D205" s="92"/>
      <c r="E205" s="92"/>
      <c r="F205" s="5"/>
      <c r="G205" s="5"/>
      <c r="H205" s="5"/>
      <c r="I205" s="5"/>
      <c r="J205" s="5"/>
      <c r="K205" s="5"/>
      <c r="L205" s="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" customHeight="1">
      <c r="A206" s="7"/>
      <c r="B206" s="5"/>
      <c r="C206" s="95"/>
      <c r="D206" s="92"/>
      <c r="E206" s="92"/>
      <c r="F206" s="5"/>
      <c r="G206" s="5"/>
      <c r="H206" s="5"/>
      <c r="I206" s="5"/>
      <c r="J206" s="5"/>
      <c r="K206" s="5"/>
      <c r="L206" s="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" customHeight="1">
      <c r="A207" s="7"/>
      <c r="B207" s="5"/>
      <c r="C207" s="95"/>
      <c r="D207" s="92"/>
      <c r="E207" s="92"/>
      <c r="F207" s="5"/>
      <c r="G207" s="5"/>
      <c r="H207" s="5"/>
      <c r="I207" s="5"/>
      <c r="J207" s="5"/>
      <c r="K207" s="5"/>
      <c r="L207" s="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" customHeight="1">
      <c r="A208" s="7"/>
      <c r="B208" s="5"/>
      <c r="C208" s="95"/>
      <c r="D208" s="92"/>
      <c r="E208" s="92"/>
      <c r="F208" s="5"/>
      <c r="G208" s="5"/>
      <c r="H208" s="5"/>
      <c r="I208" s="5"/>
      <c r="J208" s="5"/>
      <c r="K208" s="5"/>
      <c r="L208" s="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" customHeight="1">
      <c r="A209" s="7"/>
      <c r="B209" s="5"/>
      <c r="C209" s="95"/>
      <c r="D209" s="92"/>
      <c r="E209" s="92"/>
      <c r="F209" s="5"/>
      <c r="G209" s="5"/>
      <c r="H209" s="5"/>
      <c r="I209" s="5"/>
      <c r="J209" s="5"/>
      <c r="K209" s="5"/>
      <c r="L209" s="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" customHeight="1">
      <c r="A210" s="7"/>
      <c r="B210" s="5"/>
      <c r="C210" s="95"/>
      <c r="D210" s="92"/>
      <c r="E210" s="92"/>
      <c r="F210" s="5"/>
      <c r="G210" s="5"/>
      <c r="H210" s="5"/>
      <c r="I210" s="5"/>
      <c r="J210" s="5"/>
      <c r="K210" s="5"/>
      <c r="L210" s="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" customHeight="1">
      <c r="A211" s="7"/>
      <c r="B211" s="5"/>
      <c r="C211" s="95"/>
      <c r="D211" s="92"/>
      <c r="E211" s="92"/>
      <c r="F211" s="5"/>
      <c r="G211" s="5"/>
      <c r="H211" s="5"/>
      <c r="I211" s="5"/>
      <c r="J211" s="5"/>
      <c r="K211" s="5"/>
      <c r="L211" s="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" customHeight="1">
      <c r="A212" s="7"/>
      <c r="B212" s="5"/>
      <c r="C212" s="95"/>
      <c r="D212" s="92"/>
      <c r="E212" s="92"/>
      <c r="F212" s="5"/>
      <c r="G212" s="5"/>
      <c r="H212" s="5"/>
      <c r="I212" s="5"/>
      <c r="J212" s="5"/>
      <c r="K212" s="5"/>
      <c r="L212" s="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" customHeight="1">
      <c r="A213" s="7"/>
      <c r="B213" s="5"/>
      <c r="C213" s="95"/>
      <c r="D213" s="92"/>
      <c r="E213" s="92"/>
      <c r="F213" s="5"/>
      <c r="G213" s="5"/>
      <c r="H213" s="5"/>
      <c r="I213" s="5"/>
      <c r="J213" s="5"/>
      <c r="K213" s="5"/>
      <c r="L213" s="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" customHeight="1">
      <c r="A214" s="7"/>
      <c r="B214" s="5"/>
      <c r="C214" s="95"/>
      <c r="D214" s="92"/>
      <c r="E214" s="92"/>
      <c r="F214" s="5"/>
      <c r="G214" s="5"/>
      <c r="H214" s="5"/>
      <c r="I214" s="5"/>
      <c r="J214" s="5"/>
      <c r="K214" s="5"/>
      <c r="L214" s="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" customHeight="1">
      <c r="A215" s="7"/>
      <c r="B215" s="5"/>
      <c r="C215" s="95"/>
      <c r="D215" s="92"/>
      <c r="E215" s="92"/>
      <c r="F215" s="5"/>
      <c r="G215" s="5"/>
      <c r="H215" s="5"/>
      <c r="I215" s="5"/>
      <c r="J215" s="5"/>
      <c r="K215" s="5"/>
      <c r="L215" s="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" customHeight="1">
      <c r="A216" s="7"/>
      <c r="B216" s="5"/>
      <c r="C216" s="95"/>
      <c r="D216" s="92"/>
      <c r="E216" s="92"/>
      <c r="F216" s="5"/>
      <c r="G216" s="5"/>
      <c r="H216" s="5"/>
      <c r="I216" s="5"/>
      <c r="J216" s="5"/>
      <c r="K216" s="5"/>
      <c r="L216" s="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" customHeight="1">
      <c r="A217" s="7"/>
      <c r="B217" s="5"/>
      <c r="C217" s="95"/>
      <c r="D217" s="92"/>
      <c r="E217" s="92"/>
      <c r="F217" s="5"/>
      <c r="G217" s="5"/>
      <c r="H217" s="5"/>
      <c r="I217" s="5"/>
      <c r="J217" s="5"/>
      <c r="K217" s="5"/>
      <c r="L217" s="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" customHeight="1">
      <c r="A218" s="7"/>
      <c r="B218" s="5"/>
      <c r="C218" s="95"/>
      <c r="D218" s="92"/>
      <c r="E218" s="92"/>
      <c r="F218" s="5"/>
      <c r="G218" s="5"/>
      <c r="H218" s="5"/>
      <c r="I218" s="5"/>
      <c r="J218" s="5"/>
      <c r="K218" s="5"/>
      <c r="L218" s="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" customHeight="1">
      <c r="A219" s="7"/>
      <c r="B219" s="5"/>
      <c r="C219" s="95"/>
      <c r="D219" s="92"/>
      <c r="E219" s="92"/>
      <c r="F219" s="5"/>
      <c r="G219" s="5"/>
      <c r="H219" s="5"/>
      <c r="I219" s="5"/>
      <c r="J219" s="5"/>
      <c r="K219" s="5"/>
      <c r="L219" s="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" customHeight="1">
      <c r="A220" s="7"/>
      <c r="B220" s="5"/>
      <c r="C220" s="95"/>
      <c r="D220" s="92"/>
      <c r="E220" s="92"/>
      <c r="F220" s="5"/>
      <c r="G220" s="5"/>
      <c r="H220" s="5"/>
      <c r="I220" s="5"/>
      <c r="J220" s="5"/>
      <c r="K220" s="5"/>
      <c r="L220" s="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" customHeight="1">
      <c r="A221" s="7"/>
      <c r="B221" s="5"/>
      <c r="C221" s="95"/>
      <c r="D221" s="92"/>
      <c r="E221" s="92"/>
      <c r="F221" s="5"/>
      <c r="G221" s="5"/>
      <c r="H221" s="5"/>
      <c r="I221" s="5"/>
      <c r="J221" s="5"/>
      <c r="K221" s="5"/>
      <c r="L221" s="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" customHeight="1">
      <c r="A222" s="7"/>
      <c r="B222" s="5"/>
      <c r="C222" s="95"/>
      <c r="D222" s="92"/>
      <c r="E222" s="92"/>
      <c r="F222" s="5"/>
      <c r="G222" s="5"/>
      <c r="H222" s="5"/>
      <c r="I222" s="5"/>
      <c r="J222" s="5"/>
      <c r="K222" s="5"/>
      <c r="L222" s="5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" customHeight="1">
      <c r="A223" s="7"/>
      <c r="B223" s="5"/>
      <c r="C223" s="95"/>
      <c r="D223" s="92"/>
      <c r="E223" s="92"/>
      <c r="F223" s="5"/>
      <c r="G223" s="5"/>
      <c r="H223" s="5"/>
      <c r="I223" s="5"/>
      <c r="J223" s="5"/>
      <c r="K223" s="5"/>
      <c r="L223" s="5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" customHeight="1">
      <c r="A224" s="7"/>
      <c r="B224" s="5"/>
      <c r="C224" s="95"/>
      <c r="D224" s="92"/>
      <c r="E224" s="92"/>
      <c r="F224" s="5"/>
      <c r="G224" s="5"/>
      <c r="H224" s="5"/>
      <c r="I224" s="5"/>
      <c r="J224" s="5"/>
      <c r="K224" s="5"/>
      <c r="L224" s="5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" customHeight="1">
      <c r="A225" s="7"/>
      <c r="B225" s="5"/>
      <c r="C225" s="95"/>
      <c r="D225" s="92"/>
      <c r="E225" s="92"/>
      <c r="F225" s="5"/>
      <c r="G225" s="5"/>
      <c r="H225" s="5"/>
      <c r="I225" s="5"/>
      <c r="J225" s="5"/>
      <c r="K225" s="5"/>
      <c r="L225" s="5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" customHeight="1">
      <c r="A226" s="7"/>
      <c r="B226" s="5"/>
      <c r="C226" s="95"/>
      <c r="D226" s="92"/>
      <c r="E226" s="92"/>
      <c r="F226" s="5"/>
      <c r="G226" s="5"/>
      <c r="H226" s="5"/>
      <c r="I226" s="5"/>
      <c r="J226" s="5"/>
      <c r="K226" s="5"/>
      <c r="L226" s="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" customHeight="1">
      <c r="A227" s="7"/>
      <c r="B227" s="5"/>
      <c r="C227" s="95"/>
      <c r="D227" s="92"/>
      <c r="E227" s="92"/>
      <c r="F227" s="5"/>
      <c r="G227" s="5"/>
      <c r="H227" s="5"/>
      <c r="I227" s="5"/>
      <c r="J227" s="5"/>
      <c r="K227" s="5"/>
      <c r="L227" s="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" customHeight="1">
      <c r="A228" s="7"/>
      <c r="B228" s="5"/>
      <c r="C228" s="95"/>
      <c r="D228" s="92"/>
      <c r="E228" s="92"/>
      <c r="F228" s="5"/>
      <c r="G228" s="5"/>
      <c r="H228" s="5"/>
      <c r="I228" s="5"/>
      <c r="J228" s="5"/>
      <c r="K228" s="5"/>
      <c r="L228" s="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" customHeight="1">
      <c r="A229" s="7"/>
      <c r="B229" s="5"/>
      <c r="C229" s="95"/>
      <c r="D229" s="92"/>
      <c r="E229" s="92"/>
      <c r="F229" s="5"/>
      <c r="G229" s="5"/>
      <c r="H229" s="5"/>
      <c r="I229" s="5"/>
      <c r="J229" s="5"/>
      <c r="K229" s="5"/>
      <c r="L229" s="5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" customHeight="1">
      <c r="A230" s="7"/>
      <c r="B230" s="5"/>
      <c r="C230" s="95"/>
      <c r="D230" s="92"/>
      <c r="E230" s="92"/>
      <c r="F230" s="5"/>
      <c r="G230" s="5"/>
      <c r="H230" s="5"/>
      <c r="I230" s="5"/>
      <c r="J230" s="5"/>
      <c r="K230" s="5"/>
      <c r="L230" s="5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" customHeight="1">
      <c r="A231" s="7"/>
      <c r="B231" s="5"/>
      <c r="C231" s="95"/>
      <c r="D231" s="92"/>
      <c r="E231" s="92"/>
      <c r="F231" s="5"/>
      <c r="G231" s="5"/>
      <c r="H231" s="5"/>
      <c r="I231" s="5"/>
      <c r="J231" s="5"/>
      <c r="K231" s="5"/>
      <c r="L231" s="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8" customHeight="1">
      <c r="A232" s="7"/>
      <c r="B232" s="5"/>
      <c r="C232" s="95"/>
      <c r="D232" s="92"/>
      <c r="E232" s="92"/>
      <c r="F232" s="5"/>
      <c r="G232" s="5"/>
      <c r="H232" s="5"/>
      <c r="I232" s="5"/>
      <c r="J232" s="5"/>
      <c r="K232" s="5"/>
      <c r="L232" s="5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8" customHeight="1">
      <c r="A233" s="7"/>
      <c r="B233" s="5"/>
      <c r="C233" s="95"/>
      <c r="D233" s="92"/>
      <c r="E233" s="92"/>
      <c r="F233" s="5"/>
      <c r="G233" s="5"/>
      <c r="H233" s="5"/>
      <c r="I233" s="5"/>
      <c r="J233" s="5"/>
      <c r="K233" s="5"/>
      <c r="L233" s="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8" customHeight="1">
      <c r="A234" s="7"/>
      <c r="B234" s="5"/>
      <c r="C234" s="95"/>
      <c r="D234" s="92"/>
      <c r="E234" s="92"/>
      <c r="F234" s="5"/>
      <c r="G234" s="5"/>
      <c r="H234" s="5"/>
      <c r="I234" s="5"/>
      <c r="J234" s="5"/>
      <c r="K234" s="5"/>
      <c r="L234" s="5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8" customHeight="1">
      <c r="A235" s="7"/>
      <c r="B235" s="5"/>
      <c r="C235" s="95"/>
      <c r="D235" s="92"/>
      <c r="E235" s="92"/>
      <c r="F235" s="5"/>
      <c r="G235" s="5"/>
      <c r="H235" s="5"/>
      <c r="I235" s="5"/>
      <c r="J235" s="5"/>
      <c r="K235" s="5"/>
      <c r="L235" s="5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8" customHeight="1">
      <c r="A236" s="7"/>
      <c r="B236" s="5"/>
      <c r="C236" s="95"/>
      <c r="D236" s="92"/>
      <c r="E236" s="92"/>
      <c r="F236" s="5"/>
      <c r="G236" s="5"/>
      <c r="H236" s="5"/>
      <c r="I236" s="5"/>
      <c r="J236" s="5"/>
      <c r="K236" s="5"/>
      <c r="L236" s="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8" customHeight="1">
      <c r="A237" s="7"/>
      <c r="B237" s="5"/>
      <c r="C237" s="95"/>
      <c r="D237" s="92"/>
      <c r="E237" s="92"/>
      <c r="F237" s="5"/>
      <c r="G237" s="5"/>
      <c r="H237" s="5"/>
      <c r="I237" s="5"/>
      <c r="J237" s="5"/>
      <c r="K237" s="5"/>
      <c r="L237" s="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8" customHeight="1">
      <c r="A238" s="7"/>
      <c r="B238" s="5"/>
      <c r="C238" s="95"/>
      <c r="D238" s="92"/>
      <c r="E238" s="92"/>
      <c r="F238" s="5"/>
      <c r="G238" s="5"/>
      <c r="H238" s="5"/>
      <c r="I238" s="5"/>
      <c r="J238" s="5"/>
      <c r="K238" s="5"/>
      <c r="L238" s="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8" customHeight="1">
      <c r="A239" s="7"/>
      <c r="B239" s="5"/>
      <c r="C239" s="95"/>
      <c r="D239" s="92"/>
      <c r="E239" s="92"/>
      <c r="F239" s="5"/>
      <c r="G239" s="5"/>
      <c r="H239" s="5"/>
      <c r="I239" s="5"/>
      <c r="J239" s="5"/>
      <c r="K239" s="5"/>
      <c r="L239" s="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8" customHeight="1">
      <c r="A240" s="7"/>
      <c r="B240" s="5"/>
      <c r="C240" s="95"/>
      <c r="D240" s="92"/>
      <c r="E240" s="92"/>
      <c r="F240" s="5"/>
      <c r="G240" s="5"/>
      <c r="H240" s="5"/>
      <c r="I240" s="5"/>
      <c r="J240" s="5"/>
      <c r="K240" s="5"/>
      <c r="L240" s="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8" customHeight="1">
      <c r="A241" s="7"/>
      <c r="B241" s="5"/>
      <c r="C241" s="95"/>
      <c r="D241" s="92"/>
      <c r="E241" s="92"/>
      <c r="F241" s="5"/>
      <c r="G241" s="5"/>
      <c r="H241" s="5"/>
      <c r="I241" s="5"/>
      <c r="J241" s="5"/>
      <c r="K241" s="5"/>
      <c r="L241" s="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8" customHeight="1">
      <c r="A242" s="7"/>
      <c r="B242" s="5"/>
      <c r="C242" s="95"/>
      <c r="D242" s="92"/>
      <c r="E242" s="92"/>
      <c r="F242" s="5"/>
      <c r="G242" s="5"/>
      <c r="H242" s="5"/>
      <c r="I242" s="5"/>
      <c r="J242" s="5"/>
      <c r="K242" s="5"/>
      <c r="L242" s="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8" customHeight="1">
      <c r="A243" s="7"/>
      <c r="B243" s="5"/>
      <c r="C243" s="95"/>
      <c r="D243" s="92"/>
      <c r="E243" s="92"/>
      <c r="F243" s="5"/>
      <c r="G243" s="5"/>
      <c r="H243" s="5"/>
      <c r="I243" s="5"/>
      <c r="J243" s="5"/>
      <c r="K243" s="5"/>
      <c r="L243" s="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8" customHeight="1">
      <c r="A244" s="7"/>
      <c r="B244" s="5"/>
      <c r="C244" s="95"/>
      <c r="D244" s="92"/>
      <c r="E244" s="92"/>
      <c r="F244" s="5"/>
      <c r="G244" s="5"/>
      <c r="H244" s="5"/>
      <c r="I244" s="5"/>
      <c r="J244" s="5"/>
      <c r="K244" s="5"/>
      <c r="L244" s="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8" customHeight="1">
      <c r="A245" s="7"/>
      <c r="B245" s="5"/>
      <c r="C245" s="95"/>
      <c r="D245" s="92"/>
      <c r="E245" s="92"/>
      <c r="F245" s="5"/>
      <c r="G245" s="5"/>
      <c r="H245" s="5"/>
      <c r="I245" s="5"/>
      <c r="J245" s="5"/>
      <c r="K245" s="5"/>
      <c r="L245" s="5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8" customHeight="1">
      <c r="A246" s="7"/>
      <c r="B246" s="5"/>
      <c r="C246" s="95"/>
      <c r="D246" s="92"/>
      <c r="E246" s="92"/>
      <c r="F246" s="5"/>
      <c r="G246" s="5"/>
      <c r="H246" s="5"/>
      <c r="I246" s="5"/>
      <c r="J246" s="5"/>
      <c r="K246" s="5"/>
      <c r="L246" s="5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8" customHeight="1">
      <c r="A247" s="7"/>
      <c r="B247" s="5"/>
      <c r="C247" s="95"/>
      <c r="D247" s="92"/>
      <c r="E247" s="92"/>
      <c r="F247" s="5"/>
      <c r="G247" s="5"/>
      <c r="H247" s="5"/>
      <c r="I247" s="5"/>
      <c r="J247" s="5"/>
      <c r="K247" s="5"/>
      <c r="L247" s="5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8" customHeight="1">
      <c r="A248" s="7"/>
      <c r="B248" s="5"/>
      <c r="C248" s="95"/>
      <c r="D248" s="92"/>
      <c r="E248" s="92"/>
      <c r="F248" s="5"/>
      <c r="G248" s="5"/>
      <c r="H248" s="5"/>
      <c r="I248" s="5"/>
      <c r="J248" s="5"/>
      <c r="K248" s="5"/>
      <c r="L248" s="5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8" customHeight="1">
      <c r="A249" s="7"/>
      <c r="B249" s="5"/>
      <c r="C249" s="95"/>
      <c r="D249" s="92"/>
      <c r="E249" s="92"/>
      <c r="F249" s="5"/>
      <c r="G249" s="5"/>
      <c r="H249" s="5"/>
      <c r="I249" s="5"/>
      <c r="J249" s="5"/>
      <c r="K249" s="5"/>
      <c r="L249" s="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8" customHeight="1">
      <c r="A250" s="7"/>
      <c r="B250" s="5"/>
      <c r="C250" s="95"/>
      <c r="D250" s="92"/>
      <c r="E250" s="92"/>
      <c r="F250" s="5"/>
      <c r="G250" s="5"/>
      <c r="H250" s="5"/>
      <c r="I250" s="5"/>
      <c r="J250" s="5"/>
      <c r="K250" s="5"/>
      <c r="L250" s="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8" customHeight="1">
      <c r="A251" s="7"/>
      <c r="B251" s="5"/>
      <c r="C251" s="95"/>
      <c r="D251" s="92"/>
      <c r="E251" s="92"/>
      <c r="F251" s="5"/>
      <c r="G251" s="5"/>
      <c r="H251" s="5"/>
      <c r="I251" s="5"/>
      <c r="J251" s="5"/>
      <c r="K251" s="5"/>
      <c r="L251" s="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8" customHeight="1">
      <c r="A252" s="7"/>
      <c r="B252" s="5"/>
      <c r="C252" s="95"/>
      <c r="D252" s="92"/>
      <c r="E252" s="92"/>
      <c r="F252" s="5"/>
      <c r="G252" s="5"/>
      <c r="H252" s="5"/>
      <c r="I252" s="5"/>
      <c r="J252" s="5"/>
      <c r="K252" s="5"/>
      <c r="L252" s="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8" customHeight="1">
      <c r="A253" s="7"/>
      <c r="B253" s="5"/>
      <c r="C253" s="95"/>
      <c r="D253" s="92"/>
      <c r="E253" s="92"/>
      <c r="F253" s="5"/>
      <c r="G253" s="5"/>
      <c r="H253" s="5"/>
      <c r="I253" s="5"/>
      <c r="J253" s="5"/>
      <c r="K253" s="5"/>
      <c r="L253" s="5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8" customHeight="1">
      <c r="A254" s="7"/>
      <c r="B254" s="5"/>
      <c r="C254" s="95"/>
      <c r="D254" s="92"/>
      <c r="E254" s="92"/>
      <c r="F254" s="5"/>
      <c r="G254" s="5"/>
      <c r="H254" s="5"/>
      <c r="I254" s="5"/>
      <c r="J254" s="5"/>
      <c r="K254" s="5"/>
      <c r="L254" s="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8" customHeight="1">
      <c r="A255" s="7"/>
      <c r="B255" s="5"/>
      <c r="C255" s="95"/>
      <c r="D255" s="92"/>
      <c r="E255" s="92"/>
      <c r="F255" s="5"/>
      <c r="G255" s="5"/>
      <c r="H255" s="5"/>
      <c r="I255" s="5"/>
      <c r="J255" s="5"/>
      <c r="K255" s="5"/>
      <c r="L255" s="5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8" customHeight="1">
      <c r="A256" s="7"/>
      <c r="B256" s="5"/>
      <c r="C256" s="95"/>
      <c r="D256" s="92"/>
      <c r="E256" s="92"/>
      <c r="F256" s="5"/>
      <c r="G256" s="5"/>
      <c r="H256" s="5"/>
      <c r="I256" s="5"/>
      <c r="J256" s="5"/>
      <c r="K256" s="5"/>
      <c r="L256" s="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8" customHeight="1">
      <c r="A257" s="7"/>
      <c r="B257" s="5"/>
      <c r="C257" s="95"/>
      <c r="D257" s="92"/>
      <c r="E257" s="92"/>
      <c r="F257" s="5"/>
      <c r="G257" s="5"/>
      <c r="H257" s="5"/>
      <c r="I257" s="5"/>
      <c r="J257" s="5"/>
      <c r="K257" s="5"/>
      <c r="L257" s="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8" customHeight="1">
      <c r="A258" s="7"/>
      <c r="B258" s="5"/>
      <c r="C258" s="95"/>
      <c r="D258" s="92"/>
      <c r="E258" s="92"/>
      <c r="F258" s="5"/>
      <c r="G258" s="5"/>
      <c r="H258" s="5"/>
      <c r="I258" s="5"/>
      <c r="J258" s="5"/>
      <c r="K258" s="5"/>
      <c r="L258" s="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8" customHeight="1">
      <c r="A259" s="7"/>
      <c r="B259" s="5"/>
      <c r="C259" s="95"/>
      <c r="D259" s="92"/>
      <c r="E259" s="92"/>
      <c r="F259" s="5"/>
      <c r="G259" s="5"/>
      <c r="H259" s="5"/>
      <c r="I259" s="5"/>
      <c r="J259" s="5"/>
      <c r="K259" s="5"/>
      <c r="L259" s="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8" customHeight="1">
      <c r="A260" s="7"/>
      <c r="B260" s="5"/>
      <c r="C260" s="95"/>
      <c r="D260" s="92"/>
      <c r="E260" s="92"/>
      <c r="F260" s="5"/>
      <c r="G260" s="5"/>
      <c r="H260" s="5"/>
      <c r="I260" s="5"/>
      <c r="J260" s="5"/>
      <c r="K260" s="5"/>
      <c r="L260" s="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8" customHeight="1">
      <c r="A261" s="7"/>
      <c r="B261" s="5"/>
      <c r="C261" s="95"/>
      <c r="D261" s="92"/>
      <c r="E261" s="92"/>
      <c r="F261" s="5"/>
      <c r="G261" s="5"/>
      <c r="H261" s="5"/>
      <c r="I261" s="5"/>
      <c r="J261" s="5"/>
      <c r="K261" s="5"/>
      <c r="L261" s="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8" customHeight="1">
      <c r="A262" s="7"/>
      <c r="B262" s="5"/>
      <c r="C262" s="95"/>
      <c r="D262" s="92"/>
      <c r="E262" s="92"/>
      <c r="F262" s="5"/>
      <c r="G262" s="5"/>
      <c r="H262" s="5"/>
      <c r="I262" s="5"/>
      <c r="J262" s="5"/>
      <c r="K262" s="5"/>
      <c r="L262" s="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8" customHeight="1">
      <c r="A263" s="7"/>
      <c r="B263" s="5"/>
      <c r="C263" s="95"/>
      <c r="D263" s="92"/>
      <c r="E263" s="92"/>
      <c r="F263" s="5"/>
      <c r="G263" s="5"/>
      <c r="H263" s="5"/>
      <c r="I263" s="5"/>
      <c r="J263" s="5"/>
      <c r="K263" s="5"/>
      <c r="L263" s="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8" customHeight="1">
      <c r="A264" s="7"/>
      <c r="B264" s="5"/>
      <c r="C264" s="95"/>
      <c r="D264" s="92"/>
      <c r="E264" s="92"/>
      <c r="F264" s="5"/>
      <c r="G264" s="5"/>
      <c r="H264" s="5"/>
      <c r="I264" s="5"/>
      <c r="J264" s="5"/>
      <c r="K264" s="5"/>
      <c r="L264" s="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8" customHeight="1">
      <c r="A265" s="7"/>
      <c r="B265" s="5"/>
      <c r="C265" s="95"/>
      <c r="D265" s="92"/>
      <c r="E265" s="92"/>
      <c r="F265" s="5"/>
      <c r="G265" s="5"/>
      <c r="H265" s="5"/>
      <c r="I265" s="5"/>
      <c r="J265" s="5"/>
      <c r="K265" s="5"/>
      <c r="L265" s="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8" customHeight="1">
      <c r="A266" s="7"/>
      <c r="B266" s="5"/>
      <c r="C266" s="95"/>
      <c r="D266" s="92"/>
      <c r="E266" s="92"/>
      <c r="F266" s="5"/>
      <c r="G266" s="5"/>
      <c r="H266" s="5"/>
      <c r="I266" s="5"/>
      <c r="J266" s="5"/>
      <c r="K266" s="5"/>
      <c r="L266" s="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8" customHeight="1">
      <c r="A267" s="7"/>
      <c r="B267" s="5"/>
      <c r="C267" s="95"/>
      <c r="D267" s="92"/>
      <c r="E267" s="92"/>
      <c r="F267" s="5"/>
      <c r="G267" s="5"/>
      <c r="H267" s="5"/>
      <c r="I267" s="5"/>
      <c r="J267" s="5"/>
      <c r="K267" s="5"/>
      <c r="L267" s="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8" customHeight="1">
      <c r="A268" s="7"/>
      <c r="B268" s="5"/>
      <c r="C268" s="95"/>
      <c r="D268" s="92"/>
      <c r="E268" s="92"/>
      <c r="F268" s="5"/>
      <c r="G268" s="5"/>
      <c r="H268" s="5"/>
      <c r="I268" s="5"/>
      <c r="J268" s="5"/>
      <c r="K268" s="5"/>
      <c r="L268" s="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8" customHeight="1">
      <c r="A269" s="7"/>
      <c r="B269" s="5"/>
      <c r="C269" s="95"/>
      <c r="D269" s="92"/>
      <c r="E269" s="92"/>
      <c r="F269" s="5"/>
      <c r="G269" s="5"/>
      <c r="H269" s="5"/>
      <c r="I269" s="5"/>
      <c r="J269" s="5"/>
      <c r="K269" s="5"/>
      <c r="L269" s="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8" customHeight="1">
      <c r="A270" s="7"/>
      <c r="B270" s="5"/>
      <c r="C270" s="95"/>
      <c r="D270" s="92"/>
      <c r="E270" s="92"/>
      <c r="F270" s="5"/>
      <c r="G270" s="5"/>
      <c r="H270" s="5"/>
      <c r="I270" s="5"/>
      <c r="J270" s="5"/>
      <c r="K270" s="5"/>
      <c r="L270" s="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8" customHeight="1">
      <c r="A271" s="7"/>
      <c r="B271" s="5"/>
      <c r="C271" s="95"/>
      <c r="D271" s="92"/>
      <c r="E271" s="92"/>
      <c r="F271" s="5"/>
      <c r="G271" s="5"/>
      <c r="H271" s="5"/>
      <c r="I271" s="5"/>
      <c r="J271" s="5"/>
      <c r="K271" s="5"/>
      <c r="L271" s="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8" customHeight="1">
      <c r="A272" s="7"/>
      <c r="B272" s="5"/>
      <c r="C272" s="95"/>
      <c r="D272" s="92"/>
      <c r="E272" s="92"/>
      <c r="F272" s="5"/>
      <c r="G272" s="5"/>
      <c r="H272" s="5"/>
      <c r="I272" s="5"/>
      <c r="J272" s="5"/>
      <c r="K272" s="5"/>
      <c r="L272" s="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8" customHeight="1">
      <c r="A273" s="7"/>
      <c r="B273" s="5"/>
      <c r="C273" s="95"/>
      <c r="D273" s="92"/>
      <c r="E273" s="92"/>
      <c r="F273" s="5"/>
      <c r="G273" s="5"/>
      <c r="H273" s="5"/>
      <c r="I273" s="5"/>
      <c r="J273" s="5"/>
      <c r="K273" s="5"/>
      <c r="L273" s="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8" customHeight="1">
      <c r="A274" s="7"/>
      <c r="B274" s="5"/>
      <c r="C274" s="95"/>
      <c r="D274" s="92"/>
      <c r="E274" s="92"/>
      <c r="F274" s="5"/>
      <c r="G274" s="5"/>
      <c r="H274" s="5"/>
      <c r="I274" s="5"/>
      <c r="J274" s="5"/>
      <c r="K274" s="5"/>
      <c r="L274" s="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8" customHeight="1">
      <c r="A275" s="7"/>
      <c r="B275" s="5"/>
      <c r="C275" s="95"/>
      <c r="D275" s="92"/>
      <c r="E275" s="92"/>
      <c r="F275" s="5"/>
      <c r="G275" s="5"/>
      <c r="H275" s="5"/>
      <c r="I275" s="5"/>
      <c r="J275" s="5"/>
      <c r="K275" s="5"/>
      <c r="L275" s="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8" customHeight="1">
      <c r="A276" s="7"/>
      <c r="B276" s="5"/>
      <c r="C276" s="95"/>
      <c r="D276" s="92"/>
      <c r="E276" s="92"/>
      <c r="F276" s="5"/>
      <c r="G276" s="5"/>
      <c r="H276" s="5"/>
      <c r="I276" s="5"/>
      <c r="J276" s="5"/>
      <c r="K276" s="5"/>
      <c r="L276" s="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8" customHeight="1">
      <c r="A277" s="7"/>
      <c r="B277" s="5"/>
      <c r="C277" s="95"/>
      <c r="D277" s="92"/>
      <c r="E277" s="92"/>
      <c r="F277" s="5"/>
      <c r="G277" s="5"/>
      <c r="H277" s="5"/>
      <c r="I277" s="5"/>
      <c r="J277" s="5"/>
      <c r="K277" s="5"/>
      <c r="L277" s="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8" customHeight="1">
      <c r="A278" s="7"/>
      <c r="B278" s="5"/>
      <c r="C278" s="95"/>
      <c r="D278" s="92"/>
      <c r="E278" s="92"/>
      <c r="F278" s="5"/>
      <c r="G278" s="5"/>
      <c r="H278" s="5"/>
      <c r="I278" s="5"/>
      <c r="J278" s="5"/>
      <c r="K278" s="5"/>
      <c r="L278" s="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8" customHeight="1">
      <c r="A279" s="7"/>
      <c r="B279" s="5"/>
      <c r="C279" s="95"/>
      <c r="D279" s="92"/>
      <c r="E279" s="92"/>
      <c r="F279" s="5"/>
      <c r="G279" s="5"/>
      <c r="H279" s="5"/>
      <c r="I279" s="5"/>
      <c r="J279" s="5"/>
      <c r="K279" s="5"/>
      <c r="L279" s="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8" customHeight="1">
      <c r="A280" s="7"/>
      <c r="B280" s="5"/>
      <c r="C280" s="95"/>
      <c r="D280" s="92"/>
      <c r="E280" s="92"/>
      <c r="F280" s="5"/>
      <c r="G280" s="5"/>
      <c r="H280" s="5"/>
      <c r="I280" s="5"/>
      <c r="J280" s="5"/>
      <c r="K280" s="5"/>
      <c r="L280" s="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8" customHeight="1">
      <c r="A281" s="7"/>
      <c r="B281" s="5"/>
      <c r="C281" s="95"/>
      <c r="D281" s="92"/>
      <c r="E281" s="92"/>
      <c r="F281" s="5"/>
      <c r="G281" s="5"/>
      <c r="H281" s="5"/>
      <c r="I281" s="5"/>
      <c r="J281" s="5"/>
      <c r="K281" s="5"/>
      <c r="L281" s="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8" customHeight="1">
      <c r="A282" s="7"/>
      <c r="B282" s="5"/>
      <c r="C282" s="95"/>
      <c r="D282" s="92"/>
      <c r="E282" s="92"/>
      <c r="F282" s="5"/>
      <c r="G282" s="5"/>
      <c r="H282" s="5"/>
      <c r="I282" s="5"/>
      <c r="J282" s="5"/>
      <c r="K282" s="5"/>
      <c r="L282" s="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8" customHeight="1">
      <c r="A283" s="7"/>
      <c r="B283" s="5"/>
      <c r="C283" s="95"/>
      <c r="D283" s="92"/>
      <c r="E283" s="92"/>
      <c r="F283" s="5"/>
      <c r="G283" s="5"/>
      <c r="H283" s="5"/>
      <c r="I283" s="5"/>
      <c r="J283" s="5"/>
      <c r="K283" s="5"/>
      <c r="L283" s="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8" customHeight="1">
      <c r="A284" s="7"/>
      <c r="B284" s="5"/>
      <c r="C284" s="95"/>
      <c r="D284" s="92"/>
      <c r="E284" s="92"/>
      <c r="F284" s="5"/>
      <c r="G284" s="5"/>
      <c r="H284" s="5"/>
      <c r="I284" s="5"/>
      <c r="J284" s="5"/>
      <c r="K284" s="5"/>
      <c r="L284" s="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8" customHeight="1">
      <c r="A285" s="7"/>
      <c r="B285" s="5"/>
      <c r="C285" s="95"/>
      <c r="D285" s="92"/>
      <c r="E285" s="92"/>
      <c r="F285" s="5"/>
      <c r="G285" s="5"/>
      <c r="H285" s="5"/>
      <c r="I285" s="5"/>
      <c r="J285" s="5"/>
      <c r="K285" s="5"/>
      <c r="L285" s="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8" customHeight="1">
      <c r="A286" s="7"/>
      <c r="B286" s="5"/>
      <c r="C286" s="95"/>
      <c r="D286" s="92"/>
      <c r="E286" s="92"/>
      <c r="F286" s="5"/>
      <c r="G286" s="5"/>
      <c r="H286" s="5"/>
      <c r="I286" s="5"/>
      <c r="J286" s="5"/>
      <c r="K286" s="5"/>
      <c r="L286" s="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8" customHeight="1">
      <c r="A287" s="7"/>
      <c r="B287" s="5"/>
      <c r="C287" s="95"/>
      <c r="D287" s="92"/>
      <c r="E287" s="92"/>
      <c r="F287" s="5"/>
      <c r="G287" s="5"/>
      <c r="H287" s="5"/>
      <c r="I287" s="5"/>
      <c r="J287" s="5"/>
      <c r="K287" s="5"/>
      <c r="L287" s="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8" customHeight="1">
      <c r="A288" s="7"/>
      <c r="B288" s="5"/>
      <c r="C288" s="95"/>
      <c r="D288" s="92"/>
      <c r="E288" s="92"/>
      <c r="F288" s="5"/>
      <c r="G288" s="5"/>
      <c r="H288" s="5"/>
      <c r="I288" s="5"/>
      <c r="J288" s="5"/>
      <c r="K288" s="5"/>
      <c r="L288" s="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8" customHeight="1">
      <c r="A289" s="7"/>
      <c r="B289" s="5"/>
      <c r="C289" s="95"/>
      <c r="D289" s="92"/>
      <c r="E289" s="92"/>
      <c r="F289" s="5"/>
      <c r="G289" s="5"/>
      <c r="H289" s="5"/>
      <c r="I289" s="5"/>
      <c r="J289" s="5"/>
      <c r="K289" s="5"/>
      <c r="L289" s="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8" customHeight="1">
      <c r="A290" s="7"/>
      <c r="B290" s="5"/>
      <c r="C290" s="95"/>
      <c r="D290" s="92"/>
      <c r="E290" s="92"/>
      <c r="F290" s="5"/>
      <c r="G290" s="5"/>
      <c r="H290" s="5"/>
      <c r="I290" s="5"/>
      <c r="J290" s="5"/>
      <c r="K290" s="5"/>
      <c r="L290" s="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8" customHeight="1">
      <c r="A291" s="7"/>
      <c r="B291" s="5"/>
      <c r="C291" s="95"/>
      <c r="D291" s="92"/>
      <c r="E291" s="92"/>
      <c r="F291" s="5"/>
      <c r="G291" s="5"/>
      <c r="H291" s="5"/>
      <c r="I291" s="5"/>
      <c r="J291" s="5"/>
      <c r="K291" s="5"/>
      <c r="L291" s="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8" customHeight="1">
      <c r="A292" s="7"/>
      <c r="B292" s="5"/>
      <c r="C292" s="95"/>
      <c r="D292" s="92"/>
      <c r="E292" s="92"/>
      <c r="F292" s="5"/>
      <c r="G292" s="5"/>
      <c r="H292" s="5"/>
      <c r="I292" s="5"/>
      <c r="J292" s="5"/>
      <c r="K292" s="5"/>
      <c r="L292" s="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8" customHeight="1">
      <c r="A293" s="7"/>
      <c r="B293" s="5"/>
      <c r="C293" s="95"/>
      <c r="D293" s="92"/>
      <c r="E293" s="92"/>
      <c r="F293" s="5"/>
      <c r="G293" s="5"/>
      <c r="H293" s="5"/>
      <c r="I293" s="5"/>
      <c r="J293" s="5"/>
      <c r="K293" s="5"/>
      <c r="L293" s="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8" customHeight="1">
      <c r="A294" s="7"/>
      <c r="B294" s="5"/>
      <c r="C294" s="95"/>
      <c r="D294" s="92"/>
      <c r="E294" s="92"/>
      <c r="F294" s="5"/>
      <c r="G294" s="5"/>
      <c r="H294" s="5"/>
      <c r="I294" s="5"/>
      <c r="J294" s="5"/>
      <c r="K294" s="5"/>
      <c r="L294" s="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8" customHeight="1">
      <c r="A295" s="7"/>
      <c r="B295" s="5"/>
      <c r="C295" s="95"/>
      <c r="D295" s="92"/>
      <c r="E295" s="92"/>
      <c r="F295" s="5"/>
      <c r="G295" s="5"/>
      <c r="H295" s="5"/>
      <c r="I295" s="5"/>
      <c r="J295" s="5"/>
      <c r="K295" s="5"/>
      <c r="L295" s="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8" customHeight="1">
      <c r="A296" s="7"/>
      <c r="B296" s="5"/>
      <c r="C296" s="95"/>
      <c r="D296" s="92"/>
      <c r="E296" s="92"/>
      <c r="F296" s="5"/>
      <c r="G296" s="5"/>
      <c r="H296" s="5"/>
      <c r="I296" s="5"/>
      <c r="J296" s="5"/>
      <c r="K296" s="5"/>
      <c r="L296" s="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8" customHeight="1">
      <c r="A297" s="7"/>
      <c r="B297" s="5"/>
      <c r="C297" s="95"/>
      <c r="D297" s="92"/>
      <c r="E297" s="92"/>
      <c r="F297" s="5"/>
      <c r="G297" s="5"/>
      <c r="H297" s="5"/>
      <c r="I297" s="5"/>
      <c r="J297" s="5"/>
      <c r="K297" s="5"/>
      <c r="L297" s="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8" customHeight="1">
      <c r="A298" s="7"/>
      <c r="B298" s="5"/>
      <c r="C298" s="95"/>
      <c r="D298" s="92"/>
      <c r="E298" s="92"/>
      <c r="F298" s="5"/>
      <c r="G298" s="5"/>
      <c r="H298" s="5"/>
      <c r="I298" s="5"/>
      <c r="J298" s="5"/>
      <c r="K298" s="5"/>
      <c r="L298" s="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8" customHeight="1">
      <c r="A299" s="7"/>
      <c r="B299" s="5"/>
      <c r="C299" s="95"/>
      <c r="D299" s="92"/>
      <c r="E299" s="92"/>
      <c r="F299" s="5"/>
      <c r="G299" s="5"/>
      <c r="H299" s="5"/>
      <c r="I299" s="5"/>
      <c r="J299" s="5"/>
      <c r="K299" s="5"/>
      <c r="L299" s="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8" customHeight="1">
      <c r="A300" s="7"/>
      <c r="B300" s="5"/>
      <c r="C300" s="95"/>
      <c r="D300" s="92"/>
      <c r="E300" s="92"/>
      <c r="F300" s="5"/>
      <c r="G300" s="5"/>
      <c r="H300" s="5"/>
      <c r="I300" s="5"/>
      <c r="J300" s="5"/>
      <c r="K300" s="5"/>
      <c r="L300" s="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4"/>
    <row r="302" spans="1:32" ht="14"/>
    <row r="303" spans="1:32" ht="14"/>
    <row r="304" spans="1:32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autoFilter ref="B1:M1000" xr:uid="{00000000-0009-0000-0000-000015000000}"/>
  <phoneticPr fontId="21" type="noConversion"/>
  <conditionalFormatting sqref="H1:H1000">
    <cfRule type="expression" dxfId="3" priority="1">
      <formula>COUNTIFS(H:H,H:H)&gt;1</formula>
    </cfRule>
  </conditionalFormatting>
  <conditionalFormatting sqref="K1 B1:B100 A2:A35">
    <cfRule type="cellIs" dxfId="2" priority="2" operator="equal">
      <formula>"완료"</formula>
    </cfRule>
  </conditionalFormatting>
  <dataValidations count="2">
    <dataValidation type="list" allowBlank="1" showErrorMessage="1" sqref="K3:K100" xr:uid="{00000000-0002-0000-1500-000000000000}">
      <formula1>"계약,가부,거절"</formula1>
    </dataValidation>
    <dataValidation type="list" allowBlank="1" showErrorMessage="1" sqref="L3:L29 L31:L100" xr:uid="{00000000-0002-0000-1500-000001000000}">
      <formula1>"임영재,한건희"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outlinePr summaryBelow="0" summaryRight="0"/>
  </sheetPr>
  <dimension ref="A1:Z5011"/>
  <sheetViews>
    <sheetView workbookViewId="0"/>
  </sheetViews>
  <sheetFormatPr baseColWidth="10" defaultColWidth="14.3984375" defaultRowHeight="15.75" customHeight="1"/>
  <cols>
    <col min="1" max="1" width="4" customWidth="1"/>
    <col min="2" max="2" width="14.796875" customWidth="1"/>
    <col min="3" max="3" width="19.796875" customWidth="1"/>
    <col min="4" max="4" width="14.796875" customWidth="1"/>
    <col min="5" max="5" width="21.19921875" customWidth="1"/>
    <col min="6" max="26" width="12.796875" customWidth="1"/>
  </cols>
  <sheetData>
    <row r="1" spans="1:26" ht="27.75" customHeight="1">
      <c r="A1" s="7"/>
      <c r="B1" s="84" t="s">
        <v>615</v>
      </c>
      <c r="C1" s="87" t="s">
        <v>15</v>
      </c>
      <c r="D1" s="87" t="s">
        <v>16</v>
      </c>
      <c r="E1" s="96" t="s">
        <v>11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7"/>
      <c r="B2" s="97"/>
      <c r="C2" s="89" t="s">
        <v>616</v>
      </c>
      <c r="D2" s="89" t="s">
        <v>617</v>
      </c>
      <c r="E2" s="98">
        <v>1063393291</v>
      </c>
      <c r="F2" s="6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7"/>
      <c r="B3" s="97"/>
      <c r="C3" s="89" t="s">
        <v>618</v>
      </c>
      <c r="D3" s="89" t="s">
        <v>619</v>
      </c>
      <c r="E3" s="98">
        <v>1072398383</v>
      </c>
      <c r="F3" s="9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>
      <c r="A4" s="7"/>
      <c r="B4" s="97"/>
      <c r="C4" s="89" t="s">
        <v>620</v>
      </c>
      <c r="D4" s="89" t="s">
        <v>621</v>
      </c>
      <c r="E4" s="98">
        <v>1096590776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customHeight="1">
      <c r="A5" s="7"/>
      <c r="B5" s="97"/>
      <c r="C5" s="89" t="s">
        <v>622</v>
      </c>
      <c r="D5" s="89" t="s">
        <v>623</v>
      </c>
      <c r="E5" s="98">
        <v>1071162833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>
      <c r="A6" s="7"/>
      <c r="B6" s="97"/>
      <c r="C6" s="89" t="s">
        <v>624</v>
      </c>
      <c r="D6" s="89" t="s">
        <v>625</v>
      </c>
      <c r="E6" s="98">
        <v>1075334166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customHeight="1">
      <c r="A7" s="7"/>
      <c r="B7" s="97"/>
      <c r="C7" s="89" t="s">
        <v>626</v>
      </c>
      <c r="D7" s="89" t="s">
        <v>627</v>
      </c>
      <c r="E7" s="98">
        <v>1082492041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>
      <c r="A8" s="7"/>
      <c r="B8" s="97"/>
      <c r="C8" s="89" t="s">
        <v>628</v>
      </c>
      <c r="D8" s="89" t="s">
        <v>629</v>
      </c>
      <c r="E8" s="98">
        <v>1056400312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>
      <c r="A9" s="7"/>
      <c r="B9" s="97"/>
      <c r="C9" s="89" t="s">
        <v>630</v>
      </c>
      <c r="D9" s="89" t="s">
        <v>631</v>
      </c>
      <c r="E9" s="98">
        <v>1076971191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>
      <c r="A10" s="7"/>
      <c r="B10" s="97"/>
      <c r="C10" s="89" t="s">
        <v>632</v>
      </c>
      <c r="D10" s="89" t="s">
        <v>633</v>
      </c>
      <c r="E10" s="98">
        <v>1088438046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>
      <c r="A11" s="7"/>
      <c r="B11" s="97"/>
      <c r="C11" s="89" t="s">
        <v>634</v>
      </c>
      <c r="D11" s="89" t="s">
        <v>635</v>
      </c>
      <c r="E11" s="98">
        <v>1099711519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customHeight="1">
      <c r="A12" s="7"/>
      <c r="B12" s="97"/>
      <c r="C12" s="89" t="s">
        <v>636</v>
      </c>
      <c r="D12" s="89" t="s">
        <v>637</v>
      </c>
      <c r="E12" s="98">
        <v>1083900827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customHeight="1">
      <c r="A13" s="7"/>
      <c r="B13" s="97"/>
      <c r="C13" s="89" t="s">
        <v>638</v>
      </c>
      <c r="D13" s="89" t="s">
        <v>32</v>
      </c>
      <c r="E13" s="98">
        <v>1047236357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customHeight="1">
      <c r="A14" s="7"/>
      <c r="B14" s="97"/>
      <c r="C14" s="89" t="s">
        <v>639</v>
      </c>
      <c r="D14" s="89" t="s">
        <v>640</v>
      </c>
      <c r="E14" s="98">
        <v>1032395737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customHeight="1">
      <c r="A15" s="7"/>
      <c r="B15" s="97"/>
      <c r="C15" s="89" t="s">
        <v>624</v>
      </c>
      <c r="D15" s="89" t="s">
        <v>625</v>
      </c>
      <c r="E15" s="98">
        <v>1075334166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>
      <c r="A16" s="7"/>
      <c r="B16" s="97"/>
      <c r="C16" s="89" t="s">
        <v>634</v>
      </c>
      <c r="D16" s="89" t="s">
        <v>641</v>
      </c>
      <c r="E16" s="98">
        <v>1077328619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customHeight="1">
      <c r="A17" s="7"/>
      <c r="B17" s="97"/>
      <c r="C17" s="89" t="s">
        <v>642</v>
      </c>
      <c r="D17" s="89" t="s">
        <v>643</v>
      </c>
      <c r="E17" s="98">
        <v>1062258484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>
      <c r="A18" s="7"/>
      <c r="B18" s="97"/>
      <c r="C18" s="89" t="s">
        <v>644</v>
      </c>
      <c r="D18" s="89" t="s">
        <v>645</v>
      </c>
      <c r="E18" s="98">
        <v>1087417784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>
      <c r="A19" s="7"/>
      <c r="B19" s="97"/>
      <c r="C19" s="89" t="s">
        <v>646</v>
      </c>
      <c r="D19" s="89" t="s">
        <v>647</v>
      </c>
      <c r="E19" s="98">
        <v>1047654747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customHeight="1">
      <c r="A20" s="7"/>
      <c r="B20" s="97"/>
      <c r="C20" s="89" t="s">
        <v>648</v>
      </c>
      <c r="D20" s="89" t="s">
        <v>18</v>
      </c>
      <c r="E20" s="98">
        <v>1038432987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>
      <c r="A21" s="7"/>
      <c r="B21" s="97"/>
      <c r="C21" s="89" t="s">
        <v>649</v>
      </c>
      <c r="D21" s="89" t="s">
        <v>650</v>
      </c>
      <c r="E21" s="98">
        <v>1049025979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customHeight="1">
      <c r="A22" s="7"/>
      <c r="B22" s="97"/>
      <c r="C22" s="89" t="s">
        <v>651</v>
      </c>
      <c r="D22" s="89" t="s">
        <v>652</v>
      </c>
      <c r="E22" s="98">
        <v>1079204618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customHeight="1">
      <c r="A23" s="7"/>
      <c r="B23" s="97"/>
      <c r="C23" s="89" t="s">
        <v>653</v>
      </c>
      <c r="D23" s="89" t="s">
        <v>654</v>
      </c>
      <c r="E23" s="98">
        <v>1040853788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customHeight="1">
      <c r="A24" s="7"/>
      <c r="B24" s="97"/>
      <c r="C24" s="89" t="s">
        <v>655</v>
      </c>
      <c r="D24" s="89" t="s">
        <v>631</v>
      </c>
      <c r="E24" s="98">
        <v>1076971191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>
      <c r="A25" s="7"/>
      <c r="B25" s="97"/>
      <c r="C25" s="89" t="s">
        <v>656</v>
      </c>
      <c r="D25" s="89" t="s">
        <v>657</v>
      </c>
      <c r="E25" s="98">
        <v>1089486943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customHeight="1">
      <c r="A26" s="7"/>
      <c r="B26" s="97"/>
      <c r="C26" s="89" t="s">
        <v>31</v>
      </c>
      <c r="D26" s="89" t="s">
        <v>658</v>
      </c>
      <c r="E26" s="98">
        <v>1065871235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customHeight="1">
      <c r="A27" s="7"/>
      <c r="B27" s="97"/>
      <c r="C27" s="89" t="s">
        <v>659</v>
      </c>
      <c r="D27" s="89" t="s">
        <v>660</v>
      </c>
      <c r="E27" s="98">
        <v>1075981380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customHeight="1">
      <c r="A28" s="7"/>
      <c r="B28" s="100"/>
      <c r="C28" s="89" t="s">
        <v>661</v>
      </c>
      <c r="D28" s="89" t="s">
        <v>662</v>
      </c>
      <c r="E28" s="98">
        <v>1054479705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customHeight="1">
      <c r="A29" s="7"/>
      <c r="B29" s="100"/>
      <c r="C29" s="5" t="s">
        <v>624</v>
      </c>
      <c r="D29" s="5" t="s">
        <v>625</v>
      </c>
      <c r="E29" s="6">
        <v>1075334166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customHeight="1">
      <c r="A30" s="7"/>
      <c r="B30" s="100"/>
      <c r="C30" s="89" t="s">
        <v>663</v>
      </c>
      <c r="D30" s="89" t="s">
        <v>664</v>
      </c>
      <c r="E30" s="98">
        <v>1052389464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customHeight="1">
      <c r="A31" s="7"/>
      <c r="B31" s="100"/>
      <c r="C31" s="89" t="s">
        <v>665</v>
      </c>
      <c r="D31" s="89" t="s">
        <v>666</v>
      </c>
      <c r="E31" s="98">
        <v>1045515286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>
      <c r="A32" s="7"/>
      <c r="B32" s="100"/>
      <c r="C32" s="5" t="s">
        <v>667</v>
      </c>
      <c r="D32" s="5" t="s">
        <v>668</v>
      </c>
      <c r="E32" s="6">
        <v>1020515257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>
      <c r="A33" s="7"/>
      <c r="B33" s="100"/>
      <c r="C33" s="5" t="s">
        <v>669</v>
      </c>
      <c r="D33" s="5" t="s">
        <v>670</v>
      </c>
      <c r="E33" s="6">
        <v>1095220069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customHeight="1">
      <c r="A34" s="7"/>
      <c r="B34" s="100"/>
      <c r="C34" s="5" t="s">
        <v>644</v>
      </c>
      <c r="D34" s="5" t="s">
        <v>645</v>
      </c>
      <c r="E34" s="6">
        <v>1087417784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customHeight="1">
      <c r="A35" s="7"/>
      <c r="B35" s="100"/>
      <c r="C35" s="5" t="s">
        <v>671</v>
      </c>
      <c r="D35" s="5" t="s">
        <v>672</v>
      </c>
      <c r="E35" s="6" t="s">
        <v>673</v>
      </c>
      <c r="F35" s="7" t="s">
        <v>674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customHeight="1">
      <c r="A36" s="7"/>
      <c r="B36" s="100"/>
      <c r="C36" s="5" t="s">
        <v>675</v>
      </c>
      <c r="D36" s="5" t="s">
        <v>676</v>
      </c>
      <c r="E36" s="6">
        <v>1043100678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>
      <c r="A37" s="7"/>
      <c r="B37" s="100"/>
      <c r="C37" s="5" t="s">
        <v>677</v>
      </c>
      <c r="D37" s="5" t="s">
        <v>678</v>
      </c>
      <c r="E37" s="6">
        <v>1084386445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>
      <c r="A38" s="7"/>
      <c r="B38" s="100"/>
      <c r="C38" s="5" t="s">
        <v>679</v>
      </c>
      <c r="D38" s="5" t="s">
        <v>680</v>
      </c>
      <c r="E38" s="6" t="s">
        <v>681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customHeight="1">
      <c r="A39" s="7"/>
      <c r="B39" s="100"/>
      <c r="C39" s="5" t="s">
        <v>682</v>
      </c>
      <c r="D39" s="5" t="s">
        <v>683</v>
      </c>
      <c r="E39" s="6">
        <v>1083862227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customHeight="1">
      <c r="A40" s="7"/>
      <c r="B40" s="100"/>
      <c r="C40" s="5" t="s">
        <v>684</v>
      </c>
      <c r="D40" s="5" t="s">
        <v>685</v>
      </c>
      <c r="E40" s="6">
        <v>1071738407</v>
      </c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customHeight="1">
      <c r="A41" s="7"/>
      <c r="B41" s="100"/>
      <c r="C41" s="5" t="s">
        <v>686</v>
      </c>
      <c r="D41" s="6" t="s">
        <v>687</v>
      </c>
      <c r="E41" s="6">
        <v>1071233993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customHeight="1">
      <c r="A42" s="7"/>
      <c r="B42" s="100"/>
      <c r="C42" s="5" t="s">
        <v>688</v>
      </c>
      <c r="D42" s="6" t="s">
        <v>689</v>
      </c>
      <c r="E42" s="6">
        <v>1041967042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customHeight="1">
      <c r="A43" s="7"/>
      <c r="B43" s="100"/>
      <c r="C43" s="5" t="s">
        <v>690</v>
      </c>
      <c r="D43" s="5" t="s">
        <v>691</v>
      </c>
      <c r="E43" s="6">
        <v>1049363104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customHeight="1">
      <c r="A44" s="7"/>
      <c r="B44" s="100"/>
      <c r="C44" s="5" t="s">
        <v>692</v>
      </c>
      <c r="D44" s="6" t="s">
        <v>693</v>
      </c>
      <c r="E44" s="6">
        <v>1076424936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customHeight="1">
      <c r="A45" s="7"/>
      <c r="B45" s="100"/>
      <c r="C45" s="5" t="s">
        <v>694</v>
      </c>
      <c r="D45" s="6" t="s">
        <v>695</v>
      </c>
      <c r="E45" s="6">
        <v>1092297820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>
      <c r="A46" s="7"/>
      <c r="B46" s="100"/>
      <c r="C46" s="5" t="s">
        <v>696</v>
      </c>
      <c r="D46" s="6" t="s">
        <v>697</v>
      </c>
      <c r="E46" s="6">
        <v>1090268424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customHeight="1">
      <c r="A47" s="7"/>
      <c r="B47" s="100"/>
      <c r="C47" s="5" t="s">
        <v>698</v>
      </c>
      <c r="D47" s="6" t="s">
        <v>699</v>
      </c>
      <c r="E47" s="6">
        <v>1048254866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customHeight="1">
      <c r="A48" s="7"/>
      <c r="B48" s="100"/>
      <c r="C48" s="5" t="s">
        <v>505</v>
      </c>
      <c r="D48" s="5" t="s">
        <v>506</v>
      </c>
      <c r="E48" s="6">
        <v>1058823362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customHeight="1">
      <c r="A49" s="7"/>
      <c r="B49" s="100"/>
      <c r="C49" s="5" t="s">
        <v>700</v>
      </c>
      <c r="D49" s="5" t="s">
        <v>701</v>
      </c>
      <c r="E49" s="6">
        <v>1049681672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customHeight="1">
      <c r="A50" s="7"/>
      <c r="B50" s="100"/>
      <c r="C50" s="101"/>
      <c r="D50" s="101"/>
      <c r="E50" s="10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>
      <c r="A51" s="7"/>
      <c r="B51" s="100"/>
      <c r="C51" s="101"/>
      <c r="D51" s="101"/>
      <c r="E51" s="10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customHeight="1">
      <c r="A52" s="7"/>
      <c r="B52" s="100"/>
      <c r="C52" s="101"/>
      <c r="D52" s="101"/>
      <c r="E52" s="10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customHeight="1">
      <c r="A53" s="7"/>
      <c r="B53" s="100"/>
      <c r="C53" s="101"/>
      <c r="D53" s="101"/>
      <c r="E53" s="10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customHeight="1">
      <c r="A54" s="7"/>
      <c r="B54" s="100"/>
      <c r="C54" s="101"/>
      <c r="D54" s="101"/>
      <c r="E54" s="10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customHeight="1">
      <c r="A55" s="7"/>
      <c r="B55" s="100"/>
      <c r="C55" s="101"/>
      <c r="D55" s="101"/>
      <c r="E55" s="10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customHeight="1">
      <c r="A56" s="7"/>
      <c r="B56" s="100"/>
      <c r="C56" s="101"/>
      <c r="D56" s="101"/>
      <c r="E56" s="10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customHeight="1">
      <c r="A57" s="7"/>
      <c r="B57" s="100"/>
      <c r="C57" s="101"/>
      <c r="D57" s="101"/>
      <c r="E57" s="10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customHeight="1">
      <c r="A58" s="7"/>
      <c r="B58" s="100"/>
      <c r="C58" s="101"/>
      <c r="D58" s="101"/>
      <c r="E58" s="10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customHeight="1">
      <c r="A59" s="7"/>
      <c r="B59" s="100"/>
      <c r="C59" s="101"/>
      <c r="D59" s="101"/>
      <c r="E59" s="10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customHeight="1">
      <c r="A60" s="7"/>
      <c r="B60" s="100"/>
      <c r="C60" s="101"/>
      <c r="D60" s="101"/>
      <c r="E60" s="10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customHeight="1">
      <c r="A61" s="7"/>
      <c r="B61" s="7"/>
      <c r="C61" s="101"/>
      <c r="D61" s="101"/>
      <c r="E61" s="10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customHeight="1">
      <c r="A62" s="7"/>
      <c r="B62" s="7"/>
      <c r="C62" s="101"/>
      <c r="D62" s="101"/>
      <c r="E62" s="10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customHeight="1">
      <c r="A63" s="7"/>
      <c r="B63" s="7"/>
      <c r="C63" s="101"/>
      <c r="D63" s="101"/>
      <c r="E63" s="10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customHeight="1">
      <c r="A64" s="7"/>
      <c r="B64" s="7"/>
      <c r="C64" s="101"/>
      <c r="D64" s="101"/>
      <c r="E64" s="10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customHeight="1">
      <c r="A65" s="7"/>
      <c r="B65" s="7"/>
      <c r="C65" s="101"/>
      <c r="D65" s="101"/>
      <c r="E65" s="10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customHeight="1">
      <c r="A66" s="7"/>
      <c r="B66" s="7"/>
      <c r="C66" s="101"/>
      <c r="D66" s="101"/>
      <c r="E66" s="10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customHeight="1">
      <c r="A67" s="7"/>
      <c r="B67" s="7"/>
      <c r="C67" s="101"/>
      <c r="D67" s="101"/>
      <c r="E67" s="10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customHeight="1">
      <c r="A68" s="7"/>
      <c r="B68" s="7"/>
      <c r="C68" s="101"/>
      <c r="D68" s="101"/>
      <c r="E68" s="10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customHeight="1">
      <c r="A69" s="7"/>
      <c r="B69" s="7"/>
      <c r="C69" s="101"/>
      <c r="D69" s="101"/>
      <c r="E69" s="10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customHeight="1">
      <c r="A70" s="7"/>
      <c r="B70" s="7"/>
      <c r="C70" s="101"/>
      <c r="D70" s="101"/>
      <c r="E70" s="10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customHeight="1">
      <c r="A71" s="7"/>
      <c r="B71" s="7"/>
      <c r="C71" s="101"/>
      <c r="D71" s="101"/>
      <c r="E71" s="10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customHeight="1">
      <c r="A72" s="7"/>
      <c r="B72" s="7"/>
      <c r="C72" s="101"/>
      <c r="D72" s="101"/>
      <c r="E72" s="10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customHeight="1">
      <c r="A73" s="7"/>
      <c r="B73" s="7"/>
      <c r="C73" s="101"/>
      <c r="D73" s="101"/>
      <c r="E73" s="10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customHeight="1">
      <c r="A74" s="7"/>
      <c r="B74" s="7"/>
      <c r="C74" s="101"/>
      <c r="D74" s="101"/>
      <c r="E74" s="10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customHeight="1">
      <c r="A75" s="7"/>
      <c r="B75" s="7"/>
      <c r="C75" s="101"/>
      <c r="D75" s="101"/>
      <c r="E75" s="10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customHeight="1">
      <c r="A76" s="7"/>
      <c r="B76" s="7"/>
      <c r="C76" s="101"/>
      <c r="D76" s="101"/>
      <c r="E76" s="10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customHeight="1">
      <c r="A77" s="7"/>
      <c r="B77" s="7"/>
      <c r="C77" s="101"/>
      <c r="D77" s="101"/>
      <c r="E77" s="10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customHeight="1">
      <c r="A78" s="7"/>
      <c r="B78" s="7"/>
      <c r="C78" s="101"/>
      <c r="D78" s="101"/>
      <c r="E78" s="10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customHeight="1">
      <c r="A79" s="7"/>
      <c r="B79" s="7"/>
      <c r="C79" s="101"/>
      <c r="D79" s="101"/>
      <c r="E79" s="10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customHeight="1">
      <c r="A80" s="7"/>
      <c r="B80" s="7"/>
      <c r="C80" s="101"/>
      <c r="D80" s="101"/>
      <c r="E80" s="10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customHeight="1">
      <c r="A81" s="7"/>
      <c r="B81" s="7"/>
      <c r="C81" s="101"/>
      <c r="D81" s="101"/>
      <c r="E81" s="10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customHeight="1">
      <c r="A82" s="7"/>
      <c r="B82" s="7"/>
      <c r="C82" s="101"/>
      <c r="D82" s="101"/>
      <c r="E82" s="10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customHeight="1">
      <c r="A83" s="7"/>
      <c r="B83" s="7"/>
      <c r="C83" s="101"/>
      <c r="D83" s="101"/>
      <c r="E83" s="10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customHeight="1">
      <c r="A84" s="7"/>
      <c r="B84" s="7"/>
      <c r="C84" s="101"/>
      <c r="D84" s="101"/>
      <c r="E84" s="10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customHeight="1">
      <c r="A85" s="7"/>
      <c r="B85" s="7"/>
      <c r="C85" s="101"/>
      <c r="D85" s="101"/>
      <c r="E85" s="10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customHeight="1">
      <c r="A86" s="7"/>
      <c r="B86" s="7"/>
      <c r="C86" s="101"/>
      <c r="D86" s="101"/>
      <c r="E86" s="10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customHeight="1">
      <c r="A87" s="7"/>
      <c r="B87" s="7"/>
      <c r="C87" s="101"/>
      <c r="D87" s="101"/>
      <c r="E87" s="10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customHeight="1">
      <c r="A88" s="7"/>
      <c r="B88" s="7"/>
      <c r="C88" s="101"/>
      <c r="D88" s="101"/>
      <c r="E88" s="10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customHeight="1">
      <c r="A89" s="7"/>
      <c r="B89" s="7"/>
      <c r="C89" s="101"/>
      <c r="D89" s="101"/>
      <c r="E89" s="10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customHeight="1">
      <c r="A90" s="7"/>
      <c r="B90" s="7"/>
      <c r="C90" s="101"/>
      <c r="D90" s="101"/>
      <c r="E90" s="10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customHeight="1">
      <c r="A91" s="7"/>
      <c r="B91" s="7"/>
      <c r="C91" s="101"/>
      <c r="D91" s="101"/>
      <c r="E91" s="10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customHeight="1">
      <c r="A92" s="7"/>
      <c r="B92" s="7"/>
      <c r="C92" s="101"/>
      <c r="D92" s="101"/>
      <c r="E92" s="10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customHeight="1">
      <c r="A93" s="7"/>
      <c r="B93" s="7"/>
      <c r="C93" s="101"/>
      <c r="D93" s="101"/>
      <c r="E93" s="10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customHeight="1">
      <c r="A94" s="7"/>
      <c r="B94" s="7"/>
      <c r="C94" s="101"/>
      <c r="D94" s="101"/>
      <c r="E94" s="10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customHeight="1">
      <c r="A95" s="7"/>
      <c r="B95" s="7"/>
      <c r="C95" s="101"/>
      <c r="D95" s="101"/>
      <c r="E95" s="10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customHeight="1">
      <c r="A96" s="7"/>
      <c r="B96" s="7"/>
      <c r="C96" s="101"/>
      <c r="D96" s="101"/>
      <c r="E96" s="10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customHeight="1">
      <c r="A97" s="7"/>
      <c r="B97" s="7"/>
      <c r="C97" s="101"/>
      <c r="D97" s="101"/>
      <c r="E97" s="10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customHeight="1">
      <c r="A98" s="7"/>
      <c r="B98" s="7"/>
      <c r="C98" s="101"/>
      <c r="D98" s="101"/>
      <c r="E98" s="10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customHeight="1">
      <c r="A99" s="7"/>
      <c r="B99" s="7"/>
      <c r="C99" s="101"/>
      <c r="D99" s="101"/>
      <c r="E99" s="10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customHeight="1">
      <c r="A100" s="7"/>
      <c r="B100" s="7"/>
      <c r="C100" s="101"/>
      <c r="D100" s="101"/>
      <c r="E100" s="10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customHeight="1">
      <c r="A101" s="7"/>
      <c r="B101" s="7"/>
      <c r="C101" s="101"/>
      <c r="D101" s="101"/>
      <c r="E101" s="10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customHeight="1">
      <c r="A102" s="7"/>
      <c r="B102" s="7"/>
      <c r="C102" s="101"/>
      <c r="D102" s="101"/>
      <c r="E102" s="10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customHeight="1">
      <c r="A103" s="7"/>
      <c r="B103" s="7"/>
      <c r="C103" s="101"/>
      <c r="D103" s="101"/>
      <c r="E103" s="10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customHeight="1">
      <c r="A104" s="7"/>
      <c r="B104" s="7"/>
      <c r="C104" s="101"/>
      <c r="D104" s="101"/>
      <c r="E104" s="10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customHeight="1">
      <c r="A105" s="7"/>
      <c r="B105" s="7"/>
      <c r="C105" s="101"/>
      <c r="D105" s="101"/>
      <c r="E105" s="10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customHeight="1">
      <c r="A106" s="7"/>
      <c r="B106" s="7"/>
      <c r="C106" s="101"/>
      <c r="D106" s="101"/>
      <c r="E106" s="10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customHeight="1">
      <c r="A107" s="7"/>
      <c r="B107" s="7"/>
      <c r="C107" s="101"/>
      <c r="D107" s="101"/>
      <c r="E107" s="10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customHeight="1">
      <c r="A108" s="7"/>
      <c r="B108" s="7"/>
      <c r="C108" s="101"/>
      <c r="D108" s="101"/>
      <c r="E108" s="10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customHeight="1">
      <c r="A109" s="7"/>
      <c r="B109" s="7"/>
      <c r="C109" s="101"/>
      <c r="D109" s="101"/>
      <c r="E109" s="10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customHeight="1">
      <c r="A110" s="7"/>
      <c r="B110" s="7"/>
      <c r="C110" s="101"/>
      <c r="D110" s="101"/>
      <c r="E110" s="10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customHeight="1">
      <c r="A111" s="7"/>
      <c r="B111" s="7"/>
      <c r="C111" s="101"/>
      <c r="D111" s="101"/>
      <c r="E111" s="10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customHeight="1">
      <c r="A112" s="7"/>
      <c r="B112" s="7"/>
      <c r="C112" s="101"/>
      <c r="D112" s="101"/>
      <c r="E112" s="10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customHeight="1">
      <c r="A113" s="7"/>
      <c r="B113" s="7"/>
      <c r="C113" s="101"/>
      <c r="D113" s="101"/>
      <c r="E113" s="10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customHeight="1">
      <c r="A114" s="7"/>
      <c r="B114" s="7"/>
      <c r="C114" s="101"/>
      <c r="D114" s="101"/>
      <c r="E114" s="10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customHeight="1">
      <c r="A115" s="7"/>
      <c r="B115" s="7"/>
      <c r="C115" s="101"/>
      <c r="D115" s="101"/>
      <c r="E115" s="10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customHeight="1">
      <c r="A116" s="7"/>
      <c r="B116" s="7"/>
      <c r="C116" s="101"/>
      <c r="D116" s="101"/>
      <c r="E116" s="10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customHeight="1">
      <c r="A117" s="7"/>
      <c r="B117" s="7"/>
      <c r="C117" s="101"/>
      <c r="D117" s="101"/>
      <c r="E117" s="10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customHeight="1">
      <c r="A118" s="7"/>
      <c r="B118" s="7"/>
      <c r="C118" s="101"/>
      <c r="D118" s="101"/>
      <c r="E118" s="10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customHeight="1">
      <c r="A119" s="7"/>
      <c r="B119" s="7"/>
      <c r="C119" s="101"/>
      <c r="D119" s="101"/>
      <c r="E119" s="10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customHeight="1">
      <c r="A120" s="7"/>
      <c r="B120" s="7"/>
      <c r="C120" s="101"/>
      <c r="D120" s="101"/>
      <c r="E120" s="10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customHeight="1">
      <c r="A121" s="7"/>
      <c r="B121" s="7"/>
      <c r="C121" s="101"/>
      <c r="D121" s="101"/>
      <c r="E121" s="10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customHeight="1">
      <c r="A122" s="7"/>
      <c r="B122" s="7"/>
      <c r="C122" s="101"/>
      <c r="D122" s="101"/>
      <c r="E122" s="10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customHeight="1">
      <c r="A123" s="7"/>
      <c r="B123" s="7"/>
      <c r="C123" s="101"/>
      <c r="D123" s="101"/>
      <c r="E123" s="10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customHeight="1">
      <c r="A124" s="7"/>
      <c r="B124" s="7"/>
      <c r="C124" s="101"/>
      <c r="D124" s="101"/>
      <c r="E124" s="10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customHeight="1">
      <c r="A125" s="7"/>
      <c r="B125" s="7"/>
      <c r="C125" s="101"/>
      <c r="D125" s="101"/>
      <c r="E125" s="10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customHeight="1">
      <c r="A126" s="7"/>
      <c r="B126" s="7"/>
      <c r="C126" s="101"/>
      <c r="D126" s="101"/>
      <c r="E126" s="10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customHeight="1">
      <c r="A127" s="7"/>
      <c r="B127" s="7"/>
      <c r="C127" s="101"/>
      <c r="D127" s="101"/>
      <c r="E127" s="10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customHeight="1">
      <c r="A128" s="7"/>
      <c r="B128" s="7"/>
      <c r="C128" s="101"/>
      <c r="D128" s="101"/>
      <c r="E128" s="10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customHeight="1">
      <c r="A129" s="7"/>
      <c r="B129" s="7"/>
      <c r="C129" s="101"/>
      <c r="D129" s="101"/>
      <c r="E129" s="10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customHeight="1">
      <c r="A130" s="7"/>
      <c r="B130" s="7"/>
      <c r="C130" s="101"/>
      <c r="D130" s="101"/>
      <c r="E130" s="10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customHeight="1">
      <c r="A131" s="7"/>
      <c r="B131" s="7"/>
      <c r="C131" s="101"/>
      <c r="D131" s="101"/>
      <c r="E131" s="10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customHeight="1">
      <c r="A132" s="7"/>
      <c r="B132" s="7"/>
      <c r="C132" s="101"/>
      <c r="D132" s="101"/>
      <c r="E132" s="10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customHeight="1">
      <c r="A133" s="7"/>
      <c r="B133" s="7"/>
      <c r="C133" s="101"/>
      <c r="D133" s="101"/>
      <c r="E133" s="10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customHeight="1">
      <c r="A134" s="7"/>
      <c r="B134" s="7"/>
      <c r="C134" s="101"/>
      <c r="D134" s="101"/>
      <c r="E134" s="10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customHeight="1">
      <c r="A135" s="7"/>
      <c r="B135" s="7"/>
      <c r="C135" s="101"/>
      <c r="D135" s="101"/>
      <c r="E135" s="10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customHeight="1">
      <c r="A136" s="7"/>
      <c r="B136" s="7"/>
      <c r="C136" s="101"/>
      <c r="D136" s="101"/>
      <c r="E136" s="10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customHeight="1">
      <c r="A137" s="7"/>
      <c r="B137" s="7"/>
      <c r="C137" s="101"/>
      <c r="D137" s="101"/>
      <c r="E137" s="10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customHeight="1">
      <c r="A138" s="7"/>
      <c r="B138" s="7"/>
      <c r="C138" s="101"/>
      <c r="D138" s="101"/>
      <c r="E138" s="10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customHeight="1">
      <c r="A139" s="7"/>
      <c r="B139" s="7"/>
      <c r="C139" s="101"/>
      <c r="D139" s="101"/>
      <c r="E139" s="10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customHeight="1">
      <c r="A140" s="7"/>
      <c r="B140" s="7"/>
      <c r="C140" s="101"/>
      <c r="D140" s="101"/>
      <c r="E140" s="10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customHeight="1">
      <c r="A141" s="7"/>
      <c r="B141" s="7"/>
      <c r="C141" s="101"/>
      <c r="D141" s="101"/>
      <c r="E141" s="10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customHeight="1">
      <c r="A142" s="7"/>
      <c r="B142" s="7"/>
      <c r="C142" s="101"/>
      <c r="D142" s="101"/>
      <c r="E142" s="10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customHeight="1">
      <c r="A143" s="7"/>
      <c r="B143" s="7"/>
      <c r="C143" s="101"/>
      <c r="D143" s="101"/>
      <c r="E143" s="10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customHeight="1">
      <c r="A144" s="7"/>
      <c r="B144" s="7"/>
      <c r="C144" s="101"/>
      <c r="D144" s="101"/>
      <c r="E144" s="10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customHeight="1">
      <c r="A145" s="7"/>
      <c r="B145" s="7"/>
      <c r="C145" s="101"/>
      <c r="D145" s="101"/>
      <c r="E145" s="10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customHeight="1">
      <c r="A146" s="7"/>
      <c r="B146" s="7"/>
      <c r="C146" s="101"/>
      <c r="D146" s="101"/>
      <c r="E146" s="10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customHeight="1">
      <c r="A147" s="7"/>
      <c r="B147" s="7"/>
      <c r="C147" s="101"/>
      <c r="D147" s="101"/>
      <c r="E147" s="10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customHeight="1">
      <c r="A148" s="7"/>
      <c r="B148" s="7"/>
      <c r="C148" s="101"/>
      <c r="D148" s="101"/>
      <c r="E148" s="10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customHeight="1">
      <c r="A149" s="7"/>
      <c r="B149" s="7"/>
      <c r="C149" s="101"/>
      <c r="D149" s="101"/>
      <c r="E149" s="10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customHeight="1">
      <c r="A150" s="7"/>
      <c r="B150" s="7"/>
      <c r="C150" s="101"/>
      <c r="D150" s="101"/>
      <c r="E150" s="10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customHeight="1">
      <c r="A151" s="7"/>
      <c r="B151" s="7"/>
      <c r="C151" s="101"/>
      <c r="D151" s="101"/>
      <c r="E151" s="10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customHeight="1">
      <c r="A152" s="7"/>
      <c r="B152" s="7"/>
      <c r="C152" s="101"/>
      <c r="D152" s="101"/>
      <c r="E152" s="10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customHeight="1">
      <c r="A153" s="7"/>
      <c r="B153" s="7"/>
      <c r="C153" s="101"/>
      <c r="D153" s="101"/>
      <c r="E153" s="10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customHeight="1">
      <c r="A154" s="7"/>
      <c r="B154" s="7"/>
      <c r="C154" s="101"/>
      <c r="D154" s="101"/>
      <c r="E154" s="10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customHeight="1">
      <c r="A155" s="7"/>
      <c r="B155" s="7"/>
      <c r="C155" s="101"/>
      <c r="D155" s="101"/>
      <c r="E155" s="10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customHeight="1">
      <c r="A156" s="7"/>
      <c r="B156" s="7"/>
      <c r="C156" s="101"/>
      <c r="D156" s="101"/>
      <c r="E156" s="10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customHeight="1">
      <c r="A157" s="7"/>
      <c r="B157" s="7"/>
      <c r="C157" s="101"/>
      <c r="D157" s="101"/>
      <c r="E157" s="10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customHeight="1">
      <c r="A158" s="7"/>
      <c r="B158" s="7"/>
      <c r="C158" s="101"/>
      <c r="D158" s="101"/>
      <c r="E158" s="10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customHeight="1">
      <c r="A159" s="7"/>
      <c r="B159" s="7"/>
      <c r="C159" s="101"/>
      <c r="D159" s="101"/>
      <c r="E159" s="10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customHeight="1">
      <c r="A160" s="7"/>
      <c r="B160" s="7"/>
      <c r="C160" s="101"/>
      <c r="D160" s="101"/>
      <c r="E160" s="10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customHeight="1">
      <c r="A161" s="7"/>
      <c r="B161" s="7"/>
      <c r="C161" s="101"/>
      <c r="D161" s="101"/>
      <c r="E161" s="10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customHeight="1">
      <c r="A162" s="7"/>
      <c r="B162" s="7"/>
      <c r="C162" s="101"/>
      <c r="D162" s="101"/>
      <c r="E162" s="10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customHeight="1">
      <c r="A163" s="7"/>
      <c r="B163" s="7"/>
      <c r="C163" s="101"/>
      <c r="D163" s="101"/>
      <c r="E163" s="10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customHeight="1">
      <c r="A164" s="7"/>
      <c r="B164" s="7"/>
      <c r="C164" s="101"/>
      <c r="D164" s="101"/>
      <c r="E164" s="10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customHeight="1">
      <c r="A165" s="7"/>
      <c r="B165" s="7"/>
      <c r="C165" s="101"/>
      <c r="D165" s="101"/>
      <c r="E165" s="10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customHeight="1">
      <c r="A166" s="7"/>
      <c r="B166" s="7"/>
      <c r="C166" s="101"/>
      <c r="D166" s="101"/>
      <c r="E166" s="10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customHeight="1">
      <c r="A167" s="7"/>
      <c r="B167" s="7"/>
      <c r="C167" s="101"/>
      <c r="D167" s="101"/>
      <c r="E167" s="10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customHeight="1">
      <c r="A168" s="7"/>
      <c r="B168" s="7"/>
      <c r="C168" s="101"/>
      <c r="D168" s="101"/>
      <c r="E168" s="10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customHeight="1">
      <c r="A169" s="7"/>
      <c r="B169" s="7"/>
      <c r="C169" s="101"/>
      <c r="D169" s="101"/>
      <c r="E169" s="10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customHeight="1">
      <c r="A170" s="7"/>
      <c r="B170" s="7"/>
      <c r="C170" s="101"/>
      <c r="D170" s="101"/>
      <c r="E170" s="10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customHeight="1">
      <c r="A171" s="7"/>
      <c r="B171" s="7"/>
      <c r="C171" s="101"/>
      <c r="D171" s="101"/>
      <c r="E171" s="10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customHeight="1">
      <c r="A172" s="7"/>
      <c r="B172" s="7"/>
      <c r="C172" s="101"/>
      <c r="D172" s="101"/>
      <c r="E172" s="10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customHeight="1">
      <c r="A173" s="7"/>
      <c r="B173" s="7"/>
      <c r="C173" s="101"/>
      <c r="D173" s="101"/>
      <c r="E173" s="10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customHeight="1">
      <c r="A174" s="7"/>
      <c r="B174" s="7"/>
      <c r="C174" s="101"/>
      <c r="D174" s="101"/>
      <c r="E174" s="10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customHeight="1">
      <c r="A175" s="7"/>
      <c r="B175" s="7"/>
      <c r="C175" s="101"/>
      <c r="D175" s="101"/>
      <c r="E175" s="10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customHeight="1">
      <c r="A176" s="7"/>
      <c r="B176" s="7"/>
      <c r="C176" s="101"/>
      <c r="D176" s="101"/>
      <c r="E176" s="10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customHeight="1">
      <c r="A177" s="7"/>
      <c r="B177" s="7"/>
      <c r="C177" s="101"/>
      <c r="D177" s="101"/>
      <c r="E177" s="10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customHeight="1">
      <c r="A178" s="7"/>
      <c r="B178" s="7"/>
      <c r="C178" s="101"/>
      <c r="D178" s="101"/>
      <c r="E178" s="10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customHeight="1">
      <c r="A179" s="7"/>
      <c r="B179" s="7"/>
      <c r="C179" s="101"/>
      <c r="D179" s="101"/>
      <c r="E179" s="10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customHeight="1">
      <c r="A180" s="7"/>
      <c r="B180" s="7"/>
      <c r="C180" s="101"/>
      <c r="D180" s="101"/>
      <c r="E180" s="10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customHeight="1">
      <c r="A181" s="7"/>
      <c r="B181" s="7"/>
      <c r="C181" s="101"/>
      <c r="D181" s="101"/>
      <c r="E181" s="10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customHeight="1">
      <c r="A182" s="7"/>
      <c r="B182" s="7"/>
      <c r="C182" s="101"/>
      <c r="D182" s="101"/>
      <c r="E182" s="10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customHeight="1">
      <c r="A183" s="7"/>
      <c r="B183" s="7"/>
      <c r="C183" s="101"/>
      <c r="D183" s="101"/>
      <c r="E183" s="10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customHeight="1">
      <c r="A184" s="7"/>
      <c r="B184" s="7"/>
      <c r="C184" s="101"/>
      <c r="D184" s="101"/>
      <c r="E184" s="10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customHeight="1">
      <c r="A185" s="7"/>
      <c r="B185" s="7"/>
      <c r="C185" s="101"/>
      <c r="D185" s="101"/>
      <c r="E185" s="10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customHeight="1">
      <c r="A186" s="7"/>
      <c r="B186" s="7"/>
      <c r="C186" s="101"/>
      <c r="D186" s="101"/>
      <c r="E186" s="10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customHeight="1">
      <c r="A187" s="7"/>
      <c r="B187" s="7"/>
      <c r="C187" s="101"/>
      <c r="D187" s="101"/>
      <c r="E187" s="10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customHeight="1">
      <c r="A188" s="7"/>
      <c r="B188" s="7"/>
      <c r="C188" s="101"/>
      <c r="D188" s="101"/>
      <c r="E188" s="10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customHeight="1">
      <c r="A189" s="7"/>
      <c r="B189" s="7"/>
      <c r="C189" s="101"/>
      <c r="D189" s="101"/>
      <c r="E189" s="10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customHeight="1">
      <c r="A190" s="7"/>
      <c r="B190" s="7"/>
      <c r="C190" s="101"/>
      <c r="D190" s="101"/>
      <c r="E190" s="10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customHeight="1">
      <c r="A191" s="7"/>
      <c r="B191" s="7"/>
      <c r="C191" s="101"/>
      <c r="D191" s="101"/>
      <c r="E191" s="10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customHeight="1">
      <c r="A192" s="7"/>
      <c r="B192" s="7"/>
      <c r="C192" s="101"/>
      <c r="D192" s="101"/>
      <c r="E192" s="10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customHeight="1">
      <c r="A193" s="7"/>
      <c r="B193" s="7"/>
      <c r="C193" s="101"/>
      <c r="D193" s="101"/>
      <c r="E193" s="10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customHeight="1">
      <c r="A194" s="7"/>
      <c r="B194" s="7"/>
      <c r="C194" s="101"/>
      <c r="D194" s="101"/>
      <c r="E194" s="10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customHeight="1">
      <c r="A195" s="7"/>
      <c r="B195" s="7"/>
      <c r="C195" s="101"/>
      <c r="D195" s="101"/>
      <c r="E195" s="10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customHeight="1">
      <c r="A196" s="7"/>
      <c r="B196" s="7"/>
      <c r="C196" s="101"/>
      <c r="D196" s="101"/>
      <c r="E196" s="10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customHeight="1">
      <c r="A197" s="7"/>
      <c r="B197" s="7"/>
      <c r="C197" s="101"/>
      <c r="D197" s="101"/>
      <c r="E197" s="10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customHeight="1">
      <c r="A198" s="7"/>
      <c r="B198" s="7"/>
      <c r="C198" s="101"/>
      <c r="D198" s="101"/>
      <c r="E198" s="10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customHeight="1">
      <c r="A199" s="7"/>
      <c r="B199" s="7"/>
      <c r="C199" s="101"/>
      <c r="D199" s="101"/>
      <c r="E199" s="10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customHeight="1">
      <c r="A200" s="7"/>
      <c r="B200" s="7"/>
      <c r="C200" s="101"/>
      <c r="D200" s="101"/>
      <c r="E200" s="10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customHeight="1">
      <c r="A201" s="7"/>
      <c r="B201" s="7"/>
      <c r="C201" s="101"/>
      <c r="D201" s="101"/>
      <c r="E201" s="10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customHeight="1">
      <c r="A202" s="7"/>
      <c r="B202" s="7"/>
      <c r="C202" s="101"/>
      <c r="D202" s="101"/>
      <c r="E202" s="10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customHeight="1">
      <c r="A203" s="7"/>
      <c r="B203" s="7"/>
      <c r="C203" s="101"/>
      <c r="D203" s="101"/>
      <c r="E203" s="10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customHeight="1">
      <c r="A204" s="7"/>
      <c r="B204" s="7"/>
      <c r="C204" s="101"/>
      <c r="D204" s="101"/>
      <c r="E204" s="10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customHeight="1">
      <c r="A205" s="7"/>
      <c r="B205" s="7"/>
      <c r="C205" s="101"/>
      <c r="D205" s="101"/>
      <c r="E205" s="10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customHeight="1">
      <c r="A206" s="7"/>
      <c r="B206" s="7"/>
      <c r="C206" s="101"/>
      <c r="D206" s="101"/>
      <c r="E206" s="10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customHeight="1">
      <c r="A207" s="7"/>
      <c r="B207" s="7"/>
      <c r="C207" s="101"/>
      <c r="D207" s="101"/>
      <c r="E207" s="10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customHeight="1">
      <c r="A208" s="7"/>
      <c r="B208" s="7"/>
      <c r="C208" s="101"/>
      <c r="D208" s="101"/>
      <c r="E208" s="10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customHeight="1">
      <c r="A209" s="7"/>
      <c r="B209" s="7"/>
      <c r="C209" s="101"/>
      <c r="D209" s="101"/>
      <c r="E209" s="10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customHeight="1">
      <c r="A210" s="7"/>
      <c r="B210" s="7"/>
      <c r="C210" s="101"/>
      <c r="D210" s="101"/>
      <c r="E210" s="10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customHeight="1">
      <c r="A211" s="7"/>
      <c r="B211" s="7"/>
      <c r="C211" s="101"/>
      <c r="D211" s="101"/>
      <c r="E211" s="10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customHeight="1">
      <c r="A212" s="7"/>
      <c r="B212" s="7"/>
      <c r="C212" s="101"/>
      <c r="D212" s="101"/>
      <c r="E212" s="10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customHeight="1">
      <c r="A213" s="7"/>
      <c r="B213" s="7"/>
      <c r="C213" s="101"/>
      <c r="D213" s="101"/>
      <c r="E213" s="10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customHeight="1">
      <c r="A214" s="7"/>
      <c r="B214" s="7"/>
      <c r="C214" s="101"/>
      <c r="D214" s="101"/>
      <c r="E214" s="10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customHeight="1">
      <c r="A215" s="7"/>
      <c r="B215" s="7"/>
      <c r="C215" s="101"/>
      <c r="D215" s="101"/>
      <c r="E215" s="10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customHeight="1">
      <c r="A216" s="7"/>
      <c r="B216" s="7"/>
      <c r="C216" s="101"/>
      <c r="D216" s="101"/>
      <c r="E216" s="10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customHeight="1">
      <c r="A217" s="7"/>
      <c r="B217" s="7"/>
      <c r="C217" s="101"/>
      <c r="D217" s="101"/>
      <c r="E217" s="10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customHeight="1">
      <c r="A218" s="7"/>
      <c r="B218" s="7"/>
      <c r="C218" s="101"/>
      <c r="D218" s="101"/>
      <c r="E218" s="10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customHeight="1">
      <c r="A219" s="7"/>
      <c r="B219" s="7"/>
      <c r="C219" s="101"/>
      <c r="D219" s="101"/>
      <c r="E219" s="10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customHeight="1">
      <c r="A220" s="7"/>
      <c r="B220" s="7"/>
      <c r="C220" s="101"/>
      <c r="D220" s="101"/>
      <c r="E220" s="10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customHeight="1">
      <c r="A221" s="7"/>
      <c r="B221" s="7"/>
      <c r="C221" s="101"/>
      <c r="D221" s="101"/>
      <c r="E221" s="10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customHeight="1">
      <c r="A222" s="7"/>
      <c r="B222" s="7"/>
      <c r="C222" s="101"/>
      <c r="D222" s="101"/>
      <c r="E222" s="10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customHeight="1">
      <c r="A223" s="7"/>
      <c r="B223" s="7"/>
      <c r="C223" s="101"/>
      <c r="D223" s="101"/>
      <c r="E223" s="10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customHeight="1">
      <c r="A224" s="7"/>
      <c r="B224" s="7"/>
      <c r="C224" s="101"/>
      <c r="D224" s="101"/>
      <c r="E224" s="10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customHeight="1">
      <c r="A225" s="7"/>
      <c r="B225" s="7"/>
      <c r="C225" s="101"/>
      <c r="D225" s="101"/>
      <c r="E225" s="10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customHeight="1">
      <c r="A226" s="7"/>
      <c r="B226" s="7"/>
      <c r="C226" s="101"/>
      <c r="D226" s="101"/>
      <c r="E226" s="10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customHeight="1">
      <c r="A227" s="7"/>
      <c r="B227" s="7"/>
      <c r="C227" s="101"/>
      <c r="D227" s="101"/>
      <c r="E227" s="10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customHeight="1">
      <c r="A228" s="7"/>
      <c r="B228" s="7"/>
      <c r="C228" s="101"/>
      <c r="D228" s="101"/>
      <c r="E228" s="10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customHeight="1">
      <c r="A229" s="7"/>
      <c r="B229" s="7"/>
      <c r="C229" s="101"/>
      <c r="D229" s="101"/>
      <c r="E229" s="10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customHeight="1">
      <c r="A230" s="7"/>
      <c r="B230" s="7"/>
      <c r="C230" s="101"/>
      <c r="D230" s="101"/>
      <c r="E230" s="10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customHeight="1">
      <c r="A231" s="7"/>
      <c r="B231" s="7"/>
      <c r="C231" s="101"/>
      <c r="D231" s="101"/>
      <c r="E231" s="10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customHeight="1">
      <c r="A232" s="7"/>
      <c r="B232" s="7"/>
      <c r="C232" s="101"/>
      <c r="D232" s="101"/>
      <c r="E232" s="10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customHeight="1">
      <c r="A233" s="7"/>
      <c r="B233" s="7"/>
      <c r="C233" s="101"/>
      <c r="D233" s="101"/>
      <c r="E233" s="10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customHeight="1">
      <c r="A234" s="7"/>
      <c r="B234" s="7"/>
      <c r="C234" s="101"/>
      <c r="D234" s="101"/>
      <c r="E234" s="10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customHeight="1">
      <c r="A235" s="7"/>
      <c r="B235" s="7"/>
      <c r="C235" s="101"/>
      <c r="D235" s="101"/>
      <c r="E235" s="10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customHeight="1">
      <c r="A236" s="7"/>
      <c r="B236" s="7"/>
      <c r="C236" s="101"/>
      <c r="D236" s="101"/>
      <c r="E236" s="10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customHeight="1">
      <c r="A237" s="7"/>
      <c r="B237" s="7"/>
      <c r="C237" s="101"/>
      <c r="D237" s="101"/>
      <c r="E237" s="10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customHeight="1">
      <c r="A238" s="7"/>
      <c r="B238" s="7"/>
      <c r="C238" s="101"/>
      <c r="D238" s="101"/>
      <c r="E238" s="10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customHeight="1">
      <c r="A239" s="7"/>
      <c r="B239" s="7"/>
      <c r="C239" s="101"/>
      <c r="D239" s="101"/>
      <c r="E239" s="10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customHeight="1">
      <c r="A240" s="7"/>
      <c r="B240" s="7"/>
      <c r="C240" s="101"/>
      <c r="D240" s="101"/>
      <c r="E240" s="10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customHeight="1">
      <c r="A241" s="7"/>
      <c r="B241" s="7"/>
      <c r="C241" s="101"/>
      <c r="D241" s="101"/>
      <c r="E241" s="10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customHeight="1">
      <c r="A242" s="7"/>
      <c r="B242" s="7"/>
      <c r="C242" s="101"/>
      <c r="D242" s="101"/>
      <c r="E242" s="10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customHeight="1">
      <c r="A243" s="7"/>
      <c r="B243" s="7"/>
      <c r="C243" s="101"/>
      <c r="D243" s="101"/>
      <c r="E243" s="10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customHeight="1">
      <c r="A244" s="7"/>
      <c r="B244" s="7"/>
      <c r="C244" s="101"/>
      <c r="D244" s="101"/>
      <c r="E244" s="10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customHeight="1">
      <c r="A245" s="7"/>
      <c r="B245" s="7"/>
      <c r="C245" s="101"/>
      <c r="D245" s="101"/>
      <c r="E245" s="10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customHeight="1">
      <c r="A246" s="7"/>
      <c r="B246" s="7"/>
      <c r="C246" s="101"/>
      <c r="D246" s="101"/>
      <c r="E246" s="10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customHeight="1">
      <c r="A247" s="7"/>
      <c r="B247" s="7"/>
      <c r="C247" s="101"/>
      <c r="D247" s="101"/>
      <c r="E247" s="10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customHeight="1">
      <c r="A248" s="7"/>
      <c r="B248" s="7"/>
      <c r="C248" s="101"/>
      <c r="D248" s="101"/>
      <c r="E248" s="10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customHeight="1">
      <c r="A249" s="7"/>
      <c r="B249" s="7"/>
      <c r="C249" s="101"/>
      <c r="D249" s="101"/>
      <c r="E249" s="10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"/>
    <row r="251" spans="1:26" ht="14"/>
    <row r="252" spans="1:26" ht="14"/>
    <row r="253" spans="1:26" ht="14"/>
    <row r="254" spans="1:26" ht="14"/>
    <row r="255" spans="1:26" ht="14"/>
    <row r="256" spans="1:2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ht="14"/>
    <row r="1106" ht="14"/>
    <row r="1107" ht="14"/>
    <row r="1108" ht="14"/>
    <row r="1109" ht="14"/>
    <row r="1110" ht="14"/>
    <row r="1111" ht="14"/>
    <row r="1112" ht="14"/>
    <row r="1113" ht="14"/>
    <row r="1114" ht="14"/>
    <row r="1115" ht="14"/>
    <row r="1116" ht="14"/>
    <row r="1117" ht="14"/>
    <row r="1118" ht="14"/>
    <row r="1119" ht="14"/>
    <row r="1120" ht="14"/>
    <row r="1121" ht="14"/>
    <row r="1122" ht="14"/>
    <row r="1123" ht="14"/>
    <row r="1124" ht="14"/>
    <row r="1125" ht="14"/>
    <row r="1126" ht="14"/>
    <row r="1127" ht="14"/>
    <row r="1128" ht="14"/>
    <row r="1129" ht="14"/>
    <row r="1130" ht="14"/>
    <row r="1131" ht="14"/>
    <row r="1132" ht="14"/>
    <row r="1133" ht="14"/>
    <row r="1134" ht="14"/>
    <row r="1135" ht="14"/>
    <row r="1136" ht="14"/>
    <row r="1137" ht="14"/>
    <row r="1138" ht="14"/>
    <row r="1139" ht="14"/>
    <row r="1140" ht="14"/>
    <row r="1141" ht="14"/>
    <row r="1142" ht="14"/>
    <row r="1143" ht="14"/>
    <row r="1144" ht="14"/>
    <row r="1145" ht="14"/>
    <row r="1146" ht="14"/>
    <row r="1147" ht="14"/>
    <row r="1148" ht="14"/>
    <row r="1149" ht="14"/>
    <row r="1150" ht="14"/>
    <row r="1151" ht="14"/>
    <row r="1152" ht="14"/>
    <row r="1153" ht="14"/>
    <row r="1154" ht="14"/>
    <row r="1155" ht="14"/>
    <row r="1156" ht="14"/>
    <row r="1157" ht="14"/>
    <row r="1158" ht="14"/>
    <row r="1159" ht="14"/>
    <row r="1160" ht="14"/>
    <row r="1161" ht="14"/>
    <row r="1162" ht="14"/>
    <row r="1163" ht="14"/>
    <row r="1164" ht="14"/>
    <row r="1165" ht="14"/>
    <row r="1166" ht="14"/>
    <row r="1167" ht="14"/>
    <row r="1168" ht="14"/>
    <row r="1169" ht="14"/>
    <row r="1170" ht="14"/>
    <row r="1171" ht="14"/>
    <row r="1172" ht="14"/>
    <row r="1173" ht="14"/>
    <row r="1174" ht="14"/>
    <row r="1175" ht="14"/>
    <row r="1176" ht="14"/>
    <row r="1177" ht="14"/>
    <row r="1178" ht="14"/>
    <row r="1179" ht="14"/>
    <row r="1180" ht="14"/>
    <row r="1181" ht="14"/>
    <row r="1182" ht="14"/>
    <row r="1183" ht="14"/>
    <row r="1184" ht="14"/>
    <row r="1185" ht="14"/>
    <row r="1186" ht="14"/>
    <row r="1187" ht="14"/>
    <row r="1188" ht="14"/>
    <row r="1189" ht="14"/>
    <row r="1190" ht="14"/>
    <row r="1191" ht="14"/>
    <row r="1192" ht="14"/>
    <row r="1193" ht="14"/>
    <row r="1194" ht="14"/>
    <row r="1195" ht="14"/>
    <row r="1196" ht="14"/>
    <row r="1197" ht="14"/>
    <row r="1198" ht="14"/>
    <row r="1199" ht="14"/>
    <row r="1200" ht="14"/>
    <row r="1201" ht="14"/>
    <row r="1202" ht="14"/>
    <row r="1203" ht="14"/>
    <row r="1204" ht="14"/>
    <row r="1205" ht="14"/>
    <row r="1206" ht="14"/>
    <row r="1207" ht="14"/>
    <row r="1208" ht="14"/>
    <row r="1209" ht="14"/>
    <row r="1210" ht="14"/>
    <row r="1211" ht="14"/>
    <row r="1212" ht="14"/>
    <row r="1213" ht="14"/>
    <row r="1214" ht="14"/>
    <row r="1215" ht="14"/>
    <row r="1216" ht="14"/>
    <row r="1217" ht="14"/>
    <row r="1218" ht="14"/>
    <row r="1219" ht="14"/>
    <row r="1220" ht="14"/>
    <row r="1221" ht="14"/>
    <row r="1222" ht="14"/>
    <row r="1223" ht="14"/>
    <row r="1224" ht="14"/>
    <row r="1225" ht="14"/>
    <row r="1226" ht="14"/>
    <row r="1227" ht="14"/>
    <row r="1228" ht="14"/>
    <row r="1229" ht="14"/>
    <row r="1230" ht="14"/>
    <row r="1231" ht="14"/>
    <row r="1232" ht="14"/>
    <row r="1233" ht="14"/>
    <row r="1234" ht="14"/>
    <row r="1235" ht="14"/>
    <row r="1236" ht="14"/>
    <row r="1237" ht="14"/>
    <row r="1238" ht="14"/>
    <row r="1239" ht="14"/>
    <row r="1240" ht="14"/>
    <row r="1241" ht="14"/>
    <row r="1242" ht="14"/>
    <row r="1243" ht="14"/>
    <row r="1244" ht="14"/>
    <row r="1245" ht="14"/>
    <row r="1246" ht="14"/>
    <row r="1247" ht="14"/>
    <row r="1248" ht="14"/>
    <row r="1249" ht="14"/>
    <row r="1250" ht="14"/>
    <row r="1251" ht="14"/>
    <row r="1252" ht="14"/>
    <row r="1253" ht="14"/>
    <row r="1254" ht="14"/>
    <row r="1255" ht="14"/>
    <row r="1256" ht="14"/>
    <row r="1257" ht="14"/>
    <row r="1258" ht="14"/>
    <row r="1259" ht="14"/>
    <row r="1260" ht="14"/>
    <row r="1261" ht="14"/>
    <row r="1262" ht="14"/>
    <row r="1263" ht="14"/>
    <row r="1264" ht="14"/>
    <row r="1265" ht="14"/>
    <row r="1266" ht="14"/>
    <row r="1267" ht="14"/>
    <row r="1268" ht="14"/>
    <row r="1269" ht="14"/>
    <row r="1270" ht="14"/>
    <row r="1271" ht="14"/>
    <row r="1272" ht="14"/>
    <row r="1273" ht="14"/>
    <row r="1274" ht="14"/>
    <row r="1275" ht="14"/>
    <row r="1276" ht="14"/>
    <row r="1277" ht="14"/>
    <row r="1278" ht="14"/>
    <row r="1279" ht="14"/>
    <row r="1280" ht="14"/>
    <row r="1281" ht="14"/>
    <row r="1282" ht="14"/>
    <row r="1283" ht="14"/>
    <row r="1284" ht="14"/>
    <row r="1285" ht="14"/>
    <row r="1286" ht="14"/>
    <row r="1287" ht="14"/>
    <row r="1288" ht="14"/>
    <row r="1289" ht="14"/>
    <row r="1290" ht="14"/>
    <row r="1291" ht="14"/>
    <row r="1292" ht="14"/>
    <row r="1293" ht="14"/>
    <row r="1294" ht="14"/>
    <row r="1295" ht="14"/>
    <row r="1296" ht="14"/>
    <row r="1297" ht="14"/>
    <row r="1298" ht="14"/>
    <row r="1299" ht="14"/>
    <row r="1300" ht="14"/>
    <row r="1301" ht="14"/>
    <row r="1302" ht="14"/>
    <row r="1303" ht="14"/>
    <row r="1304" ht="14"/>
    <row r="1305" ht="14"/>
    <row r="1306" ht="14"/>
    <row r="1307" ht="14"/>
    <row r="1308" ht="14"/>
    <row r="1309" ht="14"/>
    <row r="1310" ht="14"/>
    <row r="1311" ht="14"/>
    <row r="1312" ht="14"/>
    <row r="1313" ht="14"/>
    <row r="1314" ht="14"/>
    <row r="1315" ht="14"/>
    <row r="1316" ht="14"/>
    <row r="1317" ht="14"/>
    <row r="1318" ht="14"/>
    <row r="1319" ht="14"/>
    <row r="1320" ht="14"/>
    <row r="1321" ht="14"/>
    <row r="1322" ht="14"/>
    <row r="1323" ht="14"/>
    <row r="1324" ht="14"/>
    <row r="1325" ht="14"/>
    <row r="1326" ht="14"/>
    <row r="1327" ht="14"/>
    <row r="1328" ht="14"/>
    <row r="1329" ht="14"/>
    <row r="1330" ht="14"/>
    <row r="1331" ht="14"/>
    <row r="1332" ht="14"/>
    <row r="1333" ht="14"/>
    <row r="1334" ht="14"/>
    <row r="1335" ht="14"/>
    <row r="1336" ht="14"/>
    <row r="1337" ht="14"/>
    <row r="1338" ht="14"/>
    <row r="1339" ht="14"/>
    <row r="1340" ht="14"/>
    <row r="1341" ht="14"/>
    <row r="1342" ht="14"/>
    <row r="1343" ht="14"/>
    <row r="1344" ht="14"/>
    <row r="1345" ht="14"/>
    <row r="1346" ht="14"/>
    <row r="1347" ht="14"/>
    <row r="1348" ht="14"/>
    <row r="1349" ht="14"/>
    <row r="1350" ht="14"/>
    <row r="1351" ht="14"/>
    <row r="1352" ht="14"/>
    <row r="1353" ht="14"/>
    <row r="1354" ht="14"/>
    <row r="1355" ht="14"/>
    <row r="1356" ht="14"/>
    <row r="1357" ht="14"/>
    <row r="1358" ht="14"/>
    <row r="1359" ht="14"/>
    <row r="1360" ht="14"/>
    <row r="1361" ht="14"/>
    <row r="1362" ht="14"/>
    <row r="1363" ht="14"/>
    <row r="1364" ht="14"/>
    <row r="1365" ht="14"/>
    <row r="1366" ht="14"/>
    <row r="1367" ht="14"/>
    <row r="1368" ht="14"/>
    <row r="1369" ht="14"/>
    <row r="1370" ht="14"/>
    <row r="1371" ht="14"/>
    <row r="1372" ht="14"/>
    <row r="1373" ht="14"/>
    <row r="1374" ht="14"/>
    <row r="1375" ht="14"/>
    <row r="1376" ht="14"/>
    <row r="1377" ht="14"/>
    <row r="1378" ht="14"/>
    <row r="1379" ht="14"/>
    <row r="1380" ht="14"/>
    <row r="1381" ht="14"/>
    <row r="1382" ht="14"/>
    <row r="1383" ht="14"/>
    <row r="1384" ht="14"/>
    <row r="1385" ht="14"/>
    <row r="1386" ht="14"/>
    <row r="1387" ht="14"/>
    <row r="1388" ht="14"/>
    <row r="1389" ht="14"/>
    <row r="1390" ht="14"/>
    <row r="1391" ht="14"/>
    <row r="1392" ht="14"/>
    <row r="1393" ht="14"/>
    <row r="1394" ht="14"/>
    <row r="1395" ht="14"/>
    <row r="1396" ht="14"/>
    <row r="1397" ht="14"/>
    <row r="1398" ht="14"/>
    <row r="1399" ht="14"/>
    <row r="1400" ht="14"/>
    <row r="1401" ht="14"/>
    <row r="1402" ht="14"/>
    <row r="1403" ht="14"/>
    <row r="1404" ht="14"/>
    <row r="1405" ht="14"/>
    <row r="1406" ht="14"/>
    <row r="1407" ht="14"/>
    <row r="1408" ht="14"/>
    <row r="1409" ht="14"/>
    <row r="1410" ht="14"/>
    <row r="1411" ht="14"/>
    <row r="1412" ht="14"/>
    <row r="1413" ht="14"/>
    <row r="1414" ht="14"/>
    <row r="1415" ht="14"/>
    <row r="1416" ht="14"/>
    <row r="1417" ht="14"/>
    <row r="1418" ht="14"/>
    <row r="1419" ht="14"/>
    <row r="1420" ht="14"/>
    <row r="1421" ht="14"/>
    <row r="1422" ht="14"/>
    <row r="1423" ht="14"/>
    <row r="1424" ht="14"/>
    <row r="1425" ht="14"/>
    <row r="1426" ht="14"/>
    <row r="1427" ht="14"/>
    <row r="1428" ht="14"/>
    <row r="1429" ht="14"/>
    <row r="1430" ht="14"/>
    <row r="1431" ht="14"/>
    <row r="1432" ht="14"/>
    <row r="1433" ht="14"/>
    <row r="1434" ht="14"/>
    <row r="1435" ht="14"/>
    <row r="1436" ht="14"/>
    <row r="1437" ht="14"/>
    <row r="1438" ht="14"/>
    <row r="1439" ht="14"/>
    <row r="1440" ht="14"/>
    <row r="1441" ht="14"/>
    <row r="1442" ht="14"/>
    <row r="1443" ht="14"/>
    <row r="1444" ht="14"/>
    <row r="1445" ht="14"/>
    <row r="1446" ht="14"/>
    <row r="1447" ht="14"/>
    <row r="1448" ht="14"/>
    <row r="1449" ht="14"/>
    <row r="1450" ht="14"/>
    <row r="1451" ht="14"/>
    <row r="1452" ht="14"/>
    <row r="1453" ht="14"/>
    <row r="1454" ht="14"/>
    <row r="1455" ht="14"/>
    <row r="1456" ht="14"/>
    <row r="1457" ht="14"/>
    <row r="1458" ht="14"/>
    <row r="1459" ht="14"/>
    <row r="1460" ht="14"/>
    <row r="1461" ht="14"/>
    <row r="1462" ht="14"/>
    <row r="1463" ht="14"/>
    <row r="1464" ht="14"/>
    <row r="1465" ht="14"/>
    <row r="1466" ht="14"/>
    <row r="1467" ht="14"/>
    <row r="1468" ht="14"/>
    <row r="1469" ht="14"/>
    <row r="1470" ht="14"/>
    <row r="1471" ht="14"/>
    <row r="1472" ht="14"/>
    <row r="1473" ht="14"/>
    <row r="1474" ht="14"/>
    <row r="1475" ht="14"/>
    <row r="1476" ht="14"/>
    <row r="1477" ht="14"/>
    <row r="1478" ht="14"/>
    <row r="1479" ht="14"/>
    <row r="1480" ht="14"/>
    <row r="1481" ht="14"/>
    <row r="1482" ht="14"/>
    <row r="1483" ht="14"/>
    <row r="1484" ht="14"/>
    <row r="1485" ht="14"/>
    <row r="1486" ht="14"/>
    <row r="1487" ht="14"/>
    <row r="1488" ht="14"/>
    <row r="1489" ht="14"/>
    <row r="1490" ht="14"/>
    <row r="1491" ht="14"/>
    <row r="1492" ht="14"/>
    <row r="1493" ht="14"/>
    <row r="1494" ht="14"/>
    <row r="1495" ht="14"/>
    <row r="1496" ht="14"/>
    <row r="1497" ht="14"/>
    <row r="1498" ht="14"/>
    <row r="1499" ht="14"/>
    <row r="1500" ht="14"/>
    <row r="1501" ht="14"/>
    <row r="1502" ht="14"/>
    <row r="1503" ht="14"/>
    <row r="1504" ht="14"/>
    <row r="1505" ht="14"/>
    <row r="1506" ht="14"/>
    <row r="1507" ht="14"/>
    <row r="1508" ht="14"/>
    <row r="1509" ht="14"/>
    <row r="1510" ht="14"/>
    <row r="1511" ht="14"/>
    <row r="1512" ht="14"/>
    <row r="1513" ht="14"/>
    <row r="1514" ht="14"/>
    <row r="1515" ht="14"/>
    <row r="1516" ht="14"/>
    <row r="1517" ht="14"/>
    <row r="1518" ht="14"/>
    <row r="1519" ht="14"/>
    <row r="1520" ht="14"/>
    <row r="1521" ht="14"/>
    <row r="1522" ht="14"/>
    <row r="1523" ht="14"/>
    <row r="1524" ht="14"/>
    <row r="1525" ht="14"/>
    <row r="1526" ht="14"/>
    <row r="1527" ht="14"/>
    <row r="1528" ht="14"/>
    <row r="1529" ht="14"/>
    <row r="1530" ht="14"/>
    <row r="1531" ht="14"/>
    <row r="1532" ht="14"/>
    <row r="1533" ht="14"/>
    <row r="1534" ht="14"/>
    <row r="1535" ht="14"/>
    <row r="1536" ht="14"/>
    <row r="1537" ht="14"/>
    <row r="1538" ht="14"/>
    <row r="1539" ht="14"/>
    <row r="1540" ht="14"/>
    <row r="1541" ht="14"/>
    <row r="1542" ht="14"/>
    <row r="1543" ht="14"/>
    <row r="1544" ht="14"/>
    <row r="1545" ht="14"/>
    <row r="1546" ht="14"/>
    <row r="1547" ht="14"/>
    <row r="1548" ht="14"/>
    <row r="1549" ht="14"/>
    <row r="1550" ht="14"/>
    <row r="1551" ht="14"/>
    <row r="1552" ht="14"/>
    <row r="1553" ht="14"/>
    <row r="1554" ht="14"/>
    <row r="1555" ht="14"/>
    <row r="1556" ht="14"/>
    <row r="1557" ht="14"/>
    <row r="1558" ht="14"/>
    <row r="1559" ht="14"/>
    <row r="1560" ht="14"/>
    <row r="1561" ht="14"/>
    <row r="1562" ht="14"/>
    <row r="1563" ht="14"/>
    <row r="1564" ht="14"/>
    <row r="1565" ht="14"/>
    <row r="1566" ht="14"/>
    <row r="1567" ht="14"/>
    <row r="1568" ht="14"/>
    <row r="1569" ht="14"/>
    <row r="1570" ht="14"/>
    <row r="1571" ht="14"/>
    <row r="1572" ht="14"/>
    <row r="1573" ht="14"/>
    <row r="1574" ht="14"/>
    <row r="1575" ht="14"/>
    <row r="1576" ht="14"/>
    <row r="1577" ht="14"/>
    <row r="1578" ht="14"/>
    <row r="1579" ht="14"/>
    <row r="1580" ht="14"/>
    <row r="1581" ht="14"/>
    <row r="1582" ht="14"/>
    <row r="1583" ht="14"/>
    <row r="1584" ht="14"/>
    <row r="1585" ht="14"/>
    <row r="1586" ht="14"/>
    <row r="1587" ht="14"/>
    <row r="1588" ht="14"/>
    <row r="1589" ht="14"/>
    <row r="1590" ht="14"/>
    <row r="1591" ht="14"/>
    <row r="1592" ht="14"/>
    <row r="1593" ht="14"/>
    <row r="1594" ht="14"/>
    <row r="1595" ht="14"/>
    <row r="1596" ht="14"/>
    <row r="1597" ht="14"/>
    <row r="1598" ht="14"/>
    <row r="1599" ht="14"/>
    <row r="1600" ht="14"/>
    <row r="1601" ht="14"/>
    <row r="1602" ht="14"/>
    <row r="1603" ht="14"/>
    <row r="1604" ht="14"/>
    <row r="1605" ht="14"/>
    <row r="1606" ht="14"/>
    <row r="1607" ht="14"/>
    <row r="1608" ht="14"/>
    <row r="1609" ht="14"/>
    <row r="1610" ht="14"/>
    <row r="1611" ht="14"/>
    <row r="1612" ht="14"/>
    <row r="1613" ht="14"/>
    <row r="1614" ht="14"/>
    <row r="1615" ht="14"/>
    <row r="1616" ht="14"/>
    <row r="1617" ht="14"/>
    <row r="1618" ht="14"/>
    <row r="1619" ht="14"/>
    <row r="1620" ht="14"/>
    <row r="1621" ht="14"/>
    <row r="1622" ht="14"/>
    <row r="1623" ht="14"/>
    <row r="1624" ht="14"/>
    <row r="1625" ht="14"/>
    <row r="1626" ht="14"/>
    <row r="1627" ht="14"/>
    <row r="1628" ht="14"/>
    <row r="1629" ht="14"/>
    <row r="1630" ht="14"/>
    <row r="1631" ht="14"/>
    <row r="1632" ht="14"/>
    <row r="1633" ht="14"/>
    <row r="1634" ht="14"/>
    <row r="1635" ht="14"/>
    <row r="1636" ht="14"/>
    <row r="1637" ht="14"/>
    <row r="1638" ht="14"/>
    <row r="1639" ht="14"/>
    <row r="1640" ht="14"/>
    <row r="1641" ht="14"/>
    <row r="1642" ht="14"/>
    <row r="1643" ht="14"/>
    <row r="1644" ht="14"/>
    <row r="1645" ht="14"/>
    <row r="1646" ht="14"/>
    <row r="1647" ht="14"/>
    <row r="1648" ht="14"/>
    <row r="1649" ht="14"/>
    <row r="1650" ht="14"/>
    <row r="1651" ht="14"/>
    <row r="1652" ht="14"/>
    <row r="1653" ht="14"/>
    <row r="1654" ht="14"/>
    <row r="1655" ht="14"/>
    <row r="1656" ht="14"/>
    <row r="1657" ht="14"/>
    <row r="1658" ht="14"/>
    <row r="1659" ht="14"/>
    <row r="1660" ht="14"/>
    <row r="1661" ht="14"/>
    <row r="1662" ht="14"/>
    <row r="1663" ht="14"/>
    <row r="1664" ht="14"/>
    <row r="1665" ht="14"/>
    <row r="1666" ht="14"/>
    <row r="1667" ht="14"/>
    <row r="1668" ht="14"/>
    <row r="1669" ht="14"/>
    <row r="1670" ht="14"/>
    <row r="1671" ht="14"/>
    <row r="1672" ht="14"/>
    <row r="1673" ht="14"/>
    <row r="1674" ht="14"/>
    <row r="1675" ht="14"/>
    <row r="1676" ht="14"/>
    <row r="1677" ht="14"/>
    <row r="1678" ht="14"/>
    <row r="1679" ht="14"/>
    <row r="1680" ht="14"/>
    <row r="1681" ht="14"/>
    <row r="1682" ht="14"/>
    <row r="1683" ht="14"/>
    <row r="1684" ht="14"/>
    <row r="1685" ht="14"/>
    <row r="1686" ht="14"/>
    <row r="1687" ht="14"/>
    <row r="1688" ht="14"/>
    <row r="1689" ht="14"/>
    <row r="1690" ht="14"/>
    <row r="1691" ht="14"/>
    <row r="1692" ht="14"/>
    <row r="1693" ht="14"/>
    <row r="1694" ht="14"/>
    <row r="1695" ht="14"/>
    <row r="1696" ht="14"/>
    <row r="1697" ht="14"/>
    <row r="1698" ht="14"/>
    <row r="1699" ht="14"/>
    <row r="1700" ht="14"/>
    <row r="1701" ht="14"/>
    <row r="1702" ht="14"/>
    <row r="1703" ht="14"/>
    <row r="1704" ht="14"/>
    <row r="1705" ht="14"/>
    <row r="1706" ht="14"/>
    <row r="1707" ht="14"/>
    <row r="1708" ht="14"/>
    <row r="1709" ht="14"/>
    <row r="1710" ht="14"/>
    <row r="1711" ht="14"/>
    <row r="1712" ht="14"/>
    <row r="1713" ht="14"/>
    <row r="1714" ht="14"/>
    <row r="1715" ht="14"/>
    <row r="1716" ht="14"/>
    <row r="1717" ht="14"/>
    <row r="1718" ht="14"/>
    <row r="1719" ht="14"/>
    <row r="1720" ht="14"/>
    <row r="1721" ht="14"/>
    <row r="1722" ht="14"/>
    <row r="1723" ht="14"/>
    <row r="1724" ht="14"/>
    <row r="1725" ht="14"/>
    <row r="1726" ht="14"/>
    <row r="1727" ht="14"/>
    <row r="1728" ht="14"/>
    <row r="1729" ht="14"/>
    <row r="1730" ht="14"/>
    <row r="1731" ht="14"/>
    <row r="1732" ht="14"/>
    <row r="1733" ht="14"/>
    <row r="1734" ht="14"/>
    <row r="1735" ht="14"/>
    <row r="1736" ht="14"/>
    <row r="1737" ht="14"/>
    <row r="1738" ht="14"/>
    <row r="1739" ht="14"/>
    <row r="1740" ht="14"/>
    <row r="1741" ht="14"/>
    <row r="1742" ht="14"/>
    <row r="1743" ht="14"/>
    <row r="1744" ht="14"/>
    <row r="1745" ht="14"/>
    <row r="1746" ht="14"/>
    <row r="1747" ht="14"/>
    <row r="1748" ht="14"/>
    <row r="1749" ht="14"/>
    <row r="1750" ht="14"/>
    <row r="1751" ht="14"/>
    <row r="1752" ht="14"/>
    <row r="1753" ht="14"/>
    <row r="1754" ht="14"/>
    <row r="1755" ht="14"/>
    <row r="1756" ht="14"/>
    <row r="1757" ht="14"/>
    <row r="1758" ht="14"/>
    <row r="1759" ht="14"/>
    <row r="1760" ht="14"/>
    <row r="1761" ht="14"/>
    <row r="1762" ht="14"/>
    <row r="1763" ht="14"/>
    <row r="1764" ht="14"/>
    <row r="1765" ht="14"/>
    <row r="1766" ht="14"/>
    <row r="1767" ht="14"/>
    <row r="1768" ht="14"/>
    <row r="1769" ht="14"/>
    <row r="1770" ht="14"/>
    <row r="1771" ht="14"/>
    <row r="1772" ht="14"/>
    <row r="1773" ht="14"/>
    <row r="1774" ht="14"/>
    <row r="1775" ht="14"/>
    <row r="1776" ht="14"/>
    <row r="1777" ht="14"/>
    <row r="1778" ht="14"/>
    <row r="1779" ht="14"/>
    <row r="1780" ht="14"/>
    <row r="1781" ht="14"/>
    <row r="1782" ht="14"/>
    <row r="1783" ht="14"/>
    <row r="1784" ht="14"/>
    <row r="1785" ht="14"/>
    <row r="1786" ht="14"/>
    <row r="1787" ht="14"/>
    <row r="1788" ht="14"/>
    <row r="1789" ht="14"/>
    <row r="1790" ht="14"/>
    <row r="1791" ht="14"/>
    <row r="1792" ht="14"/>
    <row r="1793" ht="14"/>
    <row r="1794" ht="14"/>
    <row r="1795" ht="14"/>
    <row r="1796" ht="14"/>
    <row r="1797" ht="14"/>
    <row r="1798" ht="14"/>
    <row r="1799" ht="14"/>
    <row r="1800" ht="14"/>
    <row r="1801" ht="14"/>
    <row r="1802" ht="14"/>
    <row r="1803" ht="14"/>
    <row r="1804" ht="14"/>
    <row r="1805" ht="14"/>
    <row r="1806" ht="14"/>
    <row r="1807" ht="14"/>
    <row r="1808" ht="14"/>
    <row r="1809" ht="14"/>
    <row r="1810" ht="14"/>
    <row r="1811" ht="14"/>
    <row r="1812" ht="14"/>
    <row r="1813" ht="14"/>
    <row r="1814" ht="14"/>
    <row r="1815" ht="14"/>
    <row r="1816" ht="14"/>
    <row r="1817" ht="14"/>
    <row r="1818" ht="14"/>
    <row r="1819" ht="14"/>
    <row r="1820" ht="14"/>
    <row r="1821" ht="14"/>
    <row r="1822" ht="14"/>
    <row r="1823" ht="14"/>
    <row r="1824" ht="14"/>
    <row r="1825" ht="14"/>
    <row r="1826" ht="14"/>
    <row r="1827" ht="14"/>
    <row r="1828" ht="14"/>
    <row r="1829" ht="14"/>
    <row r="1830" ht="14"/>
    <row r="1831" ht="14"/>
    <row r="1832" ht="14"/>
    <row r="1833" ht="14"/>
    <row r="1834" ht="14"/>
    <row r="1835" ht="14"/>
    <row r="1836" ht="14"/>
    <row r="1837" ht="14"/>
    <row r="1838" ht="14"/>
    <row r="1839" ht="14"/>
    <row r="1840" ht="14"/>
    <row r="1841" ht="14"/>
    <row r="1842" ht="14"/>
    <row r="1843" ht="14"/>
    <row r="1844" ht="14"/>
    <row r="1845" ht="14"/>
    <row r="1846" ht="14"/>
    <row r="1847" ht="14"/>
    <row r="1848" ht="14"/>
    <row r="1849" ht="14"/>
    <row r="1850" ht="14"/>
    <row r="1851" ht="14"/>
    <row r="1852" ht="14"/>
    <row r="1853" ht="14"/>
    <row r="1854" ht="14"/>
    <row r="1855" ht="14"/>
    <row r="1856" ht="14"/>
    <row r="1857" ht="14"/>
    <row r="1858" ht="14"/>
    <row r="1859" ht="14"/>
    <row r="1860" ht="14"/>
    <row r="1861" ht="14"/>
    <row r="1862" ht="14"/>
    <row r="1863" ht="14"/>
    <row r="1864" ht="14"/>
    <row r="1865" ht="14"/>
    <row r="1866" ht="14"/>
    <row r="1867" ht="14"/>
    <row r="1868" ht="14"/>
    <row r="1869" ht="14"/>
    <row r="1870" ht="14"/>
    <row r="1871" ht="14"/>
    <row r="1872" ht="14"/>
    <row r="1873" ht="14"/>
    <row r="1874" ht="14"/>
    <row r="1875" ht="14"/>
    <row r="1876" ht="14"/>
    <row r="1877" ht="14"/>
    <row r="1878" ht="14"/>
    <row r="1879" ht="14"/>
    <row r="1880" ht="14"/>
    <row r="1881" ht="14"/>
    <row r="1882" ht="14"/>
    <row r="1883" ht="14"/>
    <row r="1884" ht="14"/>
    <row r="1885" ht="14"/>
    <row r="1886" ht="14"/>
    <row r="1887" ht="14"/>
    <row r="1888" ht="14"/>
    <row r="1889" ht="14"/>
    <row r="1890" ht="14"/>
    <row r="1891" ht="14"/>
    <row r="1892" ht="14"/>
    <row r="1893" ht="14"/>
    <row r="1894" ht="14"/>
    <row r="1895" ht="14"/>
    <row r="1896" ht="14"/>
    <row r="1897" ht="14"/>
    <row r="1898" ht="14"/>
    <row r="1899" ht="14"/>
    <row r="1900" ht="14"/>
    <row r="1901" ht="14"/>
    <row r="1902" ht="14"/>
    <row r="1903" ht="14"/>
    <row r="1904" ht="14"/>
    <row r="1905" ht="14"/>
    <row r="1906" ht="14"/>
    <row r="1907" ht="14"/>
    <row r="1908" ht="14"/>
    <row r="1909" ht="14"/>
    <row r="1910" ht="14"/>
    <row r="1911" ht="14"/>
    <row r="1912" ht="14"/>
    <row r="1913" ht="14"/>
    <row r="1914" ht="14"/>
    <row r="1915" ht="14"/>
    <row r="1916" ht="14"/>
    <row r="1917" ht="14"/>
    <row r="1918" ht="14"/>
    <row r="1919" ht="14"/>
    <row r="1920" ht="14"/>
    <row r="1921" ht="14"/>
    <row r="1922" ht="14"/>
    <row r="1923" ht="14"/>
    <row r="1924" ht="14"/>
    <row r="1925" ht="14"/>
    <row r="1926" ht="14"/>
    <row r="1927" ht="14"/>
    <row r="1928" ht="14"/>
    <row r="1929" ht="14"/>
    <row r="1930" ht="14"/>
    <row r="1931" ht="14"/>
    <row r="1932" ht="14"/>
    <row r="1933" ht="14"/>
    <row r="1934" ht="14"/>
    <row r="1935" ht="14"/>
    <row r="1936" ht="14"/>
    <row r="1937" ht="14"/>
    <row r="1938" ht="14"/>
    <row r="1939" ht="14"/>
    <row r="1940" ht="14"/>
    <row r="1941" ht="14"/>
    <row r="1942" ht="14"/>
    <row r="1943" ht="14"/>
    <row r="1944" ht="14"/>
    <row r="1945" ht="14"/>
    <row r="1946" ht="14"/>
    <row r="1947" ht="14"/>
    <row r="1948" ht="14"/>
    <row r="1949" ht="14"/>
    <row r="1950" ht="14"/>
    <row r="1951" ht="14"/>
    <row r="1952" ht="14"/>
    <row r="1953" ht="14"/>
    <row r="1954" ht="14"/>
    <row r="1955" ht="14"/>
    <row r="1956" ht="14"/>
    <row r="1957" ht="14"/>
    <row r="1958" ht="14"/>
    <row r="1959" ht="14"/>
    <row r="1960" ht="14"/>
    <row r="1961" ht="14"/>
    <row r="1962" ht="14"/>
    <row r="1963" ht="14"/>
    <row r="1964" ht="14"/>
    <row r="1965" ht="14"/>
    <row r="1966" ht="14"/>
    <row r="1967" ht="14"/>
    <row r="1968" ht="14"/>
    <row r="1969" ht="14"/>
    <row r="1970" ht="14"/>
    <row r="1971" ht="14"/>
    <row r="1972" ht="14"/>
    <row r="1973" ht="14"/>
    <row r="1974" ht="14"/>
    <row r="1975" ht="14"/>
    <row r="1976" ht="14"/>
    <row r="1977" ht="14"/>
    <row r="1978" ht="14"/>
    <row r="1979" ht="14"/>
    <row r="1980" ht="14"/>
    <row r="1981" ht="14"/>
    <row r="1982" ht="14"/>
    <row r="1983" ht="14"/>
    <row r="1984" ht="14"/>
    <row r="1985" ht="14"/>
    <row r="1986" ht="14"/>
    <row r="1987" ht="14"/>
    <row r="1988" ht="14"/>
    <row r="1989" ht="14"/>
    <row r="1990" ht="14"/>
    <row r="1991" ht="14"/>
    <row r="1992" ht="14"/>
    <row r="1993" ht="14"/>
    <row r="1994" ht="14"/>
    <row r="1995" ht="14"/>
    <row r="1996" ht="14"/>
    <row r="1997" ht="14"/>
    <row r="1998" ht="14"/>
    <row r="1999" ht="14"/>
    <row r="2000" ht="14"/>
    <row r="2001" ht="14"/>
    <row r="2002" ht="14"/>
    <row r="2003" ht="14"/>
    <row r="2004" ht="14"/>
    <row r="2005" ht="14"/>
    <row r="2006" ht="14"/>
    <row r="2007" ht="14"/>
    <row r="2008" ht="14"/>
    <row r="2009" ht="14"/>
    <row r="2010" ht="14"/>
    <row r="2011" ht="14"/>
    <row r="2012" ht="14"/>
    <row r="2013" ht="14"/>
    <row r="2014" ht="14"/>
    <row r="2015" ht="14"/>
    <row r="2016" ht="14"/>
    <row r="2017" ht="14"/>
    <row r="2018" ht="14"/>
    <row r="2019" ht="14"/>
    <row r="2020" ht="14"/>
    <row r="2021" ht="14"/>
    <row r="2022" ht="14"/>
    <row r="2023" ht="14"/>
    <row r="2024" ht="14"/>
    <row r="2025" ht="14"/>
    <row r="2026" ht="14"/>
    <row r="2027" ht="14"/>
    <row r="2028" ht="14"/>
    <row r="2029" ht="14"/>
    <row r="2030" ht="14"/>
    <row r="2031" ht="14"/>
    <row r="2032" ht="14"/>
    <row r="2033" ht="14"/>
    <row r="2034" ht="14"/>
    <row r="2035" ht="14"/>
    <row r="2036" ht="14"/>
    <row r="2037" ht="14"/>
    <row r="2038" ht="14"/>
    <row r="2039" ht="14"/>
    <row r="2040" ht="14"/>
    <row r="2041" ht="14"/>
    <row r="2042" ht="14"/>
    <row r="2043" ht="14"/>
    <row r="2044" ht="14"/>
    <row r="2045" ht="14"/>
    <row r="2046" ht="14"/>
    <row r="2047" ht="14"/>
    <row r="2048" ht="14"/>
    <row r="2049" ht="14"/>
    <row r="2050" ht="14"/>
    <row r="2051" ht="14"/>
    <row r="2052" ht="14"/>
    <row r="2053" ht="14"/>
    <row r="2054" ht="14"/>
    <row r="2055" ht="14"/>
    <row r="2056" ht="14"/>
    <row r="2057" ht="14"/>
    <row r="2058" ht="14"/>
    <row r="2059" ht="14"/>
    <row r="2060" ht="14"/>
    <row r="2061" ht="14"/>
    <row r="2062" ht="14"/>
    <row r="2063" ht="14"/>
    <row r="2064" ht="14"/>
    <row r="2065" ht="14"/>
    <row r="2066" ht="14"/>
    <row r="2067" ht="14"/>
    <row r="2068" ht="14"/>
    <row r="2069" ht="14"/>
    <row r="2070" ht="14"/>
    <row r="2071" ht="14"/>
    <row r="2072" ht="14"/>
    <row r="2073" ht="14"/>
    <row r="2074" ht="14"/>
    <row r="2075" ht="14"/>
    <row r="2076" ht="14"/>
    <row r="2077" ht="14"/>
    <row r="2078" ht="14"/>
    <row r="2079" ht="14"/>
    <row r="2080" ht="14"/>
    <row r="2081" ht="14"/>
    <row r="2082" ht="14"/>
    <row r="2083" ht="14"/>
    <row r="2084" ht="14"/>
    <row r="2085" ht="14"/>
    <row r="2086" ht="14"/>
    <row r="2087" ht="14"/>
    <row r="2088" ht="14"/>
    <row r="2089" ht="14"/>
    <row r="2090" ht="14"/>
    <row r="2091" ht="14"/>
    <row r="2092" ht="14"/>
    <row r="2093" ht="14"/>
    <row r="2094" ht="14"/>
    <row r="2095" ht="14"/>
    <row r="2096" ht="14"/>
    <row r="2097" ht="14"/>
    <row r="2098" ht="14"/>
    <row r="2099" ht="14"/>
    <row r="2100" ht="14"/>
    <row r="2101" ht="14"/>
    <row r="2102" ht="14"/>
    <row r="2103" ht="14"/>
    <row r="2104" ht="14"/>
    <row r="2105" ht="14"/>
    <row r="2106" ht="14"/>
    <row r="2107" ht="14"/>
    <row r="2108" ht="14"/>
    <row r="2109" ht="14"/>
    <row r="2110" ht="14"/>
    <row r="2111" ht="14"/>
    <row r="2112" ht="14"/>
    <row r="2113" ht="14"/>
    <row r="2114" ht="14"/>
    <row r="2115" ht="14"/>
    <row r="2116" ht="14"/>
    <row r="2117" ht="14"/>
    <row r="2118" ht="14"/>
    <row r="2119" ht="14"/>
    <row r="2120" ht="14"/>
    <row r="2121" ht="14"/>
    <row r="2122" ht="14"/>
    <row r="2123" ht="14"/>
    <row r="2124" ht="14"/>
    <row r="2125" ht="14"/>
    <row r="2126" ht="14"/>
    <row r="2127" ht="14"/>
    <row r="2128" ht="14"/>
    <row r="2129" ht="14"/>
    <row r="2130" ht="14"/>
    <row r="2131" ht="14"/>
    <row r="2132" ht="14"/>
    <row r="2133" ht="14"/>
    <row r="2134" ht="14"/>
    <row r="2135" ht="14"/>
    <row r="2136" ht="14"/>
    <row r="2137" ht="14"/>
    <row r="2138" ht="14"/>
    <row r="2139" ht="14"/>
    <row r="2140" ht="14"/>
    <row r="2141" ht="14"/>
    <row r="2142" ht="14"/>
    <row r="2143" ht="14"/>
    <row r="2144" ht="14"/>
    <row r="2145" ht="14"/>
    <row r="2146" ht="14"/>
    <row r="2147" ht="14"/>
    <row r="2148" ht="14"/>
    <row r="2149" ht="14"/>
    <row r="2150" ht="14"/>
    <row r="2151" ht="14"/>
    <row r="2152" ht="14"/>
    <row r="2153" ht="14"/>
    <row r="2154" ht="14"/>
    <row r="2155" ht="14"/>
    <row r="2156" ht="14"/>
    <row r="2157" ht="14"/>
    <row r="2158" ht="14"/>
    <row r="2159" ht="14"/>
    <row r="2160" ht="14"/>
    <row r="2161" ht="14"/>
    <row r="2162" ht="14"/>
    <row r="2163" ht="14"/>
    <row r="2164" ht="14"/>
    <row r="2165" ht="14"/>
    <row r="2166" ht="14"/>
    <row r="2167" ht="14"/>
    <row r="2168" ht="14"/>
    <row r="2169" ht="14"/>
    <row r="2170" ht="14"/>
    <row r="2171" ht="14"/>
    <row r="2172" ht="14"/>
    <row r="2173" ht="14"/>
    <row r="2174" ht="14"/>
    <row r="2175" ht="14"/>
    <row r="2176" ht="14"/>
    <row r="2177" ht="14"/>
    <row r="2178" ht="14"/>
    <row r="2179" ht="14"/>
    <row r="2180" ht="14"/>
    <row r="2181" ht="14"/>
    <row r="2182" ht="14"/>
    <row r="2183" ht="14"/>
    <row r="2184" ht="14"/>
    <row r="2185" ht="14"/>
    <row r="2186" ht="14"/>
    <row r="2187" ht="14"/>
    <row r="2188" ht="14"/>
    <row r="2189" ht="14"/>
    <row r="2190" ht="14"/>
    <row r="2191" ht="14"/>
    <row r="2192" ht="14"/>
    <row r="2193" ht="14"/>
    <row r="2194" ht="14"/>
    <row r="2195" ht="14"/>
    <row r="2196" ht="14"/>
    <row r="2197" ht="14"/>
    <row r="2198" ht="14"/>
    <row r="2199" ht="14"/>
    <row r="2200" ht="14"/>
    <row r="2201" ht="14"/>
    <row r="2202" ht="14"/>
    <row r="2203" ht="14"/>
    <row r="2204" ht="14"/>
    <row r="2205" ht="14"/>
    <row r="2206" ht="14"/>
    <row r="2207" ht="14"/>
    <row r="2208" ht="14"/>
    <row r="2209" ht="14"/>
    <row r="2210" ht="14"/>
    <row r="2211" ht="14"/>
    <row r="2212" ht="14"/>
    <row r="2213" ht="14"/>
    <row r="2214" ht="14"/>
    <row r="2215" ht="14"/>
    <row r="2216" ht="14"/>
    <row r="2217" ht="14"/>
    <row r="2218" ht="14"/>
    <row r="2219" ht="14"/>
    <row r="2220" ht="14"/>
    <row r="2221" ht="14"/>
    <row r="2222" ht="14"/>
    <row r="2223" ht="14"/>
    <row r="2224" ht="14"/>
    <row r="2225" ht="14"/>
    <row r="2226" ht="14"/>
    <row r="2227" ht="14"/>
    <row r="2228" ht="14"/>
    <row r="2229" ht="14"/>
    <row r="2230" ht="14"/>
    <row r="2231" ht="14"/>
    <row r="2232" ht="14"/>
    <row r="2233" ht="14"/>
    <row r="2234" ht="14"/>
    <row r="2235" ht="14"/>
    <row r="2236" ht="14"/>
    <row r="2237" ht="14"/>
    <row r="2238" ht="14"/>
    <row r="2239" ht="14"/>
    <row r="2240" ht="14"/>
    <row r="2241" ht="14"/>
    <row r="2242" ht="14"/>
    <row r="2243" ht="14"/>
    <row r="2244" ht="14"/>
    <row r="2245" ht="14"/>
    <row r="2246" ht="14"/>
    <row r="2247" ht="14"/>
    <row r="2248" ht="14"/>
    <row r="2249" ht="14"/>
    <row r="2250" ht="14"/>
    <row r="2251" ht="14"/>
    <row r="2252" ht="14"/>
    <row r="2253" ht="14"/>
    <row r="2254" ht="14"/>
    <row r="2255" ht="14"/>
    <row r="2256" ht="14"/>
    <row r="2257" ht="14"/>
    <row r="2258" ht="14"/>
    <row r="2259" ht="14"/>
    <row r="2260" ht="14"/>
    <row r="2261" ht="14"/>
    <row r="2262" ht="14"/>
    <row r="2263" ht="14"/>
    <row r="2264" ht="14"/>
    <row r="2265" ht="14"/>
    <row r="2266" ht="14"/>
    <row r="2267" ht="14"/>
    <row r="2268" ht="14"/>
    <row r="2269" ht="14"/>
    <row r="2270" ht="14"/>
    <row r="2271" ht="14"/>
    <row r="2272" ht="14"/>
    <row r="2273" ht="14"/>
    <row r="2274" ht="14"/>
    <row r="2275" ht="14"/>
    <row r="2276" ht="14"/>
    <row r="2277" ht="14"/>
    <row r="2278" ht="14"/>
    <row r="2279" ht="14"/>
    <row r="2280" ht="14"/>
    <row r="2281" ht="14"/>
    <row r="2282" ht="14"/>
    <row r="2283" ht="14"/>
    <row r="2284" ht="14"/>
    <row r="2285" ht="14"/>
    <row r="2286" ht="14"/>
    <row r="2287" ht="14"/>
    <row r="2288" ht="14"/>
    <row r="2289" ht="14"/>
    <row r="2290" ht="14"/>
    <row r="2291" ht="14"/>
    <row r="2292" ht="14"/>
    <row r="2293" ht="14"/>
    <row r="2294" ht="14"/>
    <row r="2295" ht="14"/>
    <row r="2296" ht="14"/>
    <row r="2297" ht="14"/>
    <row r="2298" ht="14"/>
    <row r="2299" ht="14"/>
    <row r="2300" ht="14"/>
    <row r="2301" ht="14"/>
    <row r="2302" ht="14"/>
    <row r="2303" ht="14"/>
    <row r="2304" ht="14"/>
    <row r="2305" ht="14"/>
    <row r="2306" ht="14"/>
    <row r="2307" ht="14"/>
    <row r="2308" ht="14"/>
    <row r="2309" ht="14"/>
    <row r="2310" ht="14"/>
    <row r="2311" ht="14"/>
    <row r="2312" ht="14"/>
    <row r="2313" ht="14"/>
    <row r="2314" ht="14"/>
    <row r="2315" ht="14"/>
    <row r="2316" ht="14"/>
    <row r="2317" ht="14"/>
    <row r="2318" ht="14"/>
    <row r="2319" ht="14"/>
    <row r="2320" ht="14"/>
    <row r="2321" ht="14"/>
    <row r="2322" ht="14"/>
    <row r="2323" ht="14"/>
    <row r="2324" ht="14"/>
    <row r="2325" ht="14"/>
    <row r="2326" ht="14"/>
    <row r="2327" ht="14"/>
    <row r="2328" ht="14"/>
    <row r="2329" ht="14"/>
    <row r="2330" ht="14"/>
    <row r="2331" ht="14"/>
    <row r="2332" ht="14"/>
    <row r="2333" ht="14"/>
    <row r="2334" ht="14"/>
    <row r="2335" ht="14"/>
    <row r="2336" ht="14"/>
    <row r="2337" ht="14"/>
    <row r="2338" ht="14"/>
    <row r="2339" ht="14"/>
    <row r="2340" ht="14"/>
    <row r="2341" ht="14"/>
    <row r="2342" ht="14"/>
    <row r="2343" ht="14"/>
    <row r="2344" ht="14"/>
    <row r="2345" ht="14"/>
    <row r="2346" ht="14"/>
    <row r="2347" ht="14"/>
    <row r="2348" ht="14"/>
    <row r="2349" ht="14"/>
    <row r="2350" ht="14"/>
    <row r="2351" ht="14"/>
    <row r="2352" ht="14"/>
    <row r="2353" ht="14"/>
    <row r="2354" ht="14"/>
    <row r="2355" ht="14"/>
    <row r="2356" ht="14"/>
    <row r="2357" ht="14"/>
    <row r="2358" ht="14"/>
    <row r="2359" ht="14"/>
    <row r="2360" ht="14"/>
    <row r="2361" ht="14"/>
    <row r="2362" ht="14"/>
    <row r="2363" ht="14"/>
    <row r="2364" ht="14"/>
    <row r="2365" ht="14"/>
    <row r="2366" ht="14"/>
    <row r="2367" ht="14"/>
    <row r="2368" ht="14"/>
    <row r="2369" ht="14"/>
    <row r="2370" ht="14"/>
    <row r="2371" ht="14"/>
    <row r="2372" ht="14"/>
    <row r="2373" ht="14"/>
    <row r="2374" ht="14"/>
    <row r="2375" ht="14"/>
    <row r="2376" ht="14"/>
    <row r="2377" ht="14"/>
    <row r="2378" ht="14"/>
    <row r="2379" ht="14"/>
    <row r="2380" ht="14"/>
    <row r="2381" ht="14"/>
    <row r="2382" ht="14"/>
    <row r="2383" ht="14"/>
    <row r="2384" ht="14"/>
    <row r="2385" ht="14"/>
    <row r="2386" ht="14"/>
    <row r="2387" ht="14"/>
    <row r="2388" ht="14"/>
    <row r="2389" ht="14"/>
    <row r="2390" ht="14"/>
    <row r="2391" ht="14"/>
    <row r="2392" ht="14"/>
    <row r="2393" ht="14"/>
    <row r="2394" ht="14"/>
    <row r="2395" ht="14"/>
    <row r="2396" ht="14"/>
    <row r="2397" ht="14"/>
    <row r="2398" ht="14"/>
    <row r="2399" ht="14"/>
    <row r="2400" ht="14"/>
    <row r="2401" ht="14"/>
    <row r="2402" ht="14"/>
    <row r="2403" ht="14"/>
    <row r="2404" ht="14"/>
    <row r="2405" ht="14"/>
    <row r="2406" ht="14"/>
    <row r="2407" ht="14"/>
    <row r="2408" ht="14"/>
    <row r="2409" ht="14"/>
    <row r="2410" ht="14"/>
    <row r="2411" ht="14"/>
    <row r="2412" ht="14"/>
    <row r="2413" ht="14"/>
    <row r="2414" ht="14"/>
    <row r="2415" ht="14"/>
    <row r="2416" ht="14"/>
    <row r="2417" ht="14"/>
    <row r="2418" ht="14"/>
    <row r="2419" ht="14"/>
    <row r="2420" ht="14"/>
    <row r="2421" ht="14"/>
    <row r="2422" ht="14"/>
    <row r="2423" ht="14"/>
    <row r="2424" ht="14"/>
    <row r="2425" ht="14"/>
    <row r="2426" ht="14"/>
    <row r="2427" ht="14"/>
    <row r="2428" ht="14"/>
    <row r="2429" ht="14"/>
    <row r="2430" ht="14"/>
    <row r="2431" ht="14"/>
    <row r="2432" ht="14"/>
    <row r="2433" ht="14"/>
    <row r="2434" ht="14"/>
    <row r="2435" ht="14"/>
    <row r="2436" ht="14"/>
    <row r="2437" ht="14"/>
    <row r="2438" ht="14"/>
    <row r="2439" ht="14"/>
    <row r="2440" ht="14"/>
    <row r="2441" ht="14"/>
    <row r="2442" ht="14"/>
    <row r="2443" ht="14"/>
    <row r="2444" ht="14"/>
    <row r="2445" ht="14"/>
    <row r="2446" ht="14"/>
    <row r="2447" ht="14"/>
    <row r="2448" ht="14"/>
    <row r="2449" ht="14"/>
    <row r="2450" ht="14"/>
    <row r="2451" ht="14"/>
    <row r="2452" ht="14"/>
    <row r="2453" ht="14"/>
    <row r="2454" ht="14"/>
    <row r="2455" ht="14"/>
    <row r="2456" ht="14"/>
    <row r="2457" ht="14"/>
    <row r="2458" ht="14"/>
    <row r="2459" ht="14"/>
    <row r="2460" ht="14"/>
    <row r="2461" ht="14"/>
    <row r="2462" ht="14"/>
    <row r="2463" ht="14"/>
    <row r="2464" ht="14"/>
    <row r="2465" ht="14"/>
    <row r="2466" ht="14"/>
    <row r="2467" ht="14"/>
    <row r="2468" ht="14"/>
    <row r="2469" ht="14"/>
    <row r="2470" ht="14"/>
    <row r="2471" ht="14"/>
    <row r="2472" ht="14"/>
    <row r="2473" ht="14"/>
    <row r="2474" ht="14"/>
    <row r="2475" ht="14"/>
    <row r="2476" ht="14"/>
    <row r="2477" ht="14"/>
    <row r="2478" ht="14"/>
    <row r="2479" ht="14"/>
    <row r="2480" ht="14"/>
    <row r="2481" ht="14"/>
    <row r="2482" ht="14"/>
    <row r="2483" ht="14"/>
    <row r="2484" ht="14"/>
    <row r="2485" ht="14"/>
    <row r="2486" ht="14"/>
    <row r="2487" ht="14"/>
    <row r="2488" ht="14"/>
    <row r="2489" ht="14"/>
    <row r="2490" ht="14"/>
    <row r="2491" ht="14"/>
    <row r="2492" ht="14"/>
    <row r="2493" ht="14"/>
    <row r="2494" ht="14"/>
    <row r="2495" ht="14"/>
    <row r="2496" ht="14"/>
    <row r="2497" ht="14"/>
    <row r="2498" ht="14"/>
    <row r="2499" ht="14"/>
    <row r="2500" ht="14"/>
    <row r="2501" ht="14"/>
    <row r="2502" ht="14"/>
    <row r="2503" ht="14"/>
    <row r="2504" ht="14"/>
    <row r="2505" ht="14"/>
    <row r="2506" ht="14"/>
    <row r="2507" ht="14"/>
    <row r="2508" ht="14"/>
    <row r="2509" ht="14"/>
    <row r="2510" ht="14"/>
    <row r="2511" ht="14"/>
    <row r="2512" ht="14"/>
    <row r="2513" ht="14"/>
    <row r="2514" ht="14"/>
    <row r="2515" ht="14"/>
    <row r="2516" ht="14"/>
    <row r="2517" ht="14"/>
    <row r="2518" ht="14"/>
    <row r="2519" ht="14"/>
    <row r="2520" ht="14"/>
    <row r="2521" ht="14"/>
    <row r="2522" ht="14"/>
    <row r="2523" ht="14"/>
    <row r="2524" ht="14"/>
    <row r="2525" ht="14"/>
    <row r="2526" ht="14"/>
    <row r="2527" ht="14"/>
    <row r="2528" ht="14"/>
    <row r="2529" ht="14"/>
    <row r="2530" ht="14"/>
    <row r="2531" ht="14"/>
    <row r="2532" ht="14"/>
    <row r="2533" ht="14"/>
    <row r="2534" ht="14"/>
    <row r="2535" ht="14"/>
    <row r="2536" ht="14"/>
    <row r="2537" ht="14"/>
    <row r="2538" ht="14"/>
    <row r="2539" ht="14"/>
    <row r="2540" ht="14"/>
    <row r="2541" ht="14"/>
    <row r="2542" ht="14"/>
    <row r="2543" ht="14"/>
    <row r="2544" ht="14"/>
    <row r="2545" ht="14"/>
    <row r="2546" ht="14"/>
    <row r="2547" ht="14"/>
    <row r="2548" ht="14"/>
    <row r="2549" ht="14"/>
    <row r="2550" ht="14"/>
    <row r="2551" ht="14"/>
    <row r="2552" ht="14"/>
    <row r="2553" ht="14"/>
    <row r="2554" ht="14"/>
    <row r="2555" ht="14"/>
    <row r="2556" ht="14"/>
    <row r="2557" ht="14"/>
    <row r="2558" ht="14"/>
    <row r="2559" ht="14"/>
    <row r="2560" ht="14"/>
    <row r="2561" ht="14"/>
    <row r="2562" ht="14"/>
    <row r="2563" ht="14"/>
    <row r="2564" ht="14"/>
    <row r="2565" ht="14"/>
    <row r="2566" ht="14"/>
    <row r="2567" ht="14"/>
    <row r="2568" ht="14"/>
    <row r="2569" ht="14"/>
    <row r="2570" ht="14"/>
    <row r="2571" ht="14"/>
    <row r="2572" ht="14"/>
    <row r="2573" ht="14"/>
    <row r="2574" ht="14"/>
    <row r="2575" ht="14"/>
    <row r="2576" ht="14"/>
    <row r="2577" ht="14"/>
    <row r="2578" ht="14"/>
    <row r="2579" ht="14"/>
    <row r="2580" ht="14"/>
    <row r="2581" ht="14"/>
    <row r="2582" ht="14"/>
    <row r="2583" ht="14"/>
    <row r="2584" ht="14"/>
    <row r="2585" ht="14"/>
    <row r="2586" ht="14"/>
    <row r="2587" ht="14"/>
    <row r="2588" ht="14"/>
    <row r="2589" ht="14"/>
    <row r="2590" ht="14"/>
    <row r="2591" ht="14"/>
    <row r="2592" ht="14"/>
    <row r="2593" ht="14"/>
    <row r="2594" ht="14"/>
    <row r="2595" ht="14"/>
    <row r="2596" ht="14"/>
    <row r="2597" ht="14"/>
    <row r="2598" ht="14"/>
    <row r="2599" ht="14"/>
    <row r="2600" ht="14"/>
    <row r="2601" ht="14"/>
    <row r="2602" ht="14"/>
    <row r="2603" ht="14"/>
    <row r="2604" ht="14"/>
    <row r="2605" ht="14"/>
    <row r="2606" ht="14"/>
    <row r="2607" ht="14"/>
    <row r="2608" ht="14"/>
    <row r="2609" ht="14"/>
    <row r="2610" ht="14"/>
    <row r="2611" ht="14"/>
    <row r="2612" ht="14"/>
    <row r="2613" ht="14"/>
    <row r="2614" ht="14"/>
    <row r="2615" ht="14"/>
    <row r="2616" ht="14"/>
    <row r="2617" ht="14"/>
    <row r="2618" ht="14"/>
    <row r="2619" ht="14"/>
    <row r="2620" ht="14"/>
    <row r="2621" ht="14"/>
    <row r="2622" ht="14"/>
    <row r="2623" ht="14"/>
    <row r="2624" ht="14"/>
    <row r="2625" ht="14"/>
    <row r="2626" ht="14"/>
    <row r="2627" ht="14"/>
    <row r="2628" ht="14"/>
    <row r="2629" ht="14"/>
    <row r="2630" ht="14"/>
    <row r="2631" ht="14"/>
    <row r="2632" ht="14"/>
    <row r="2633" ht="14"/>
    <row r="2634" ht="14"/>
    <row r="2635" ht="14"/>
    <row r="2636" ht="14"/>
    <row r="2637" ht="14"/>
    <row r="2638" ht="14"/>
    <row r="2639" ht="14"/>
    <row r="2640" ht="14"/>
    <row r="2641" ht="14"/>
    <row r="2642" ht="14"/>
    <row r="2643" ht="14"/>
    <row r="2644" ht="14"/>
    <row r="2645" ht="14"/>
    <row r="2646" ht="14"/>
    <row r="2647" ht="14"/>
    <row r="2648" ht="14"/>
    <row r="2649" ht="14"/>
    <row r="2650" ht="14"/>
    <row r="2651" ht="14"/>
    <row r="2652" ht="14"/>
    <row r="2653" ht="14"/>
    <row r="2654" ht="14"/>
    <row r="2655" ht="14"/>
    <row r="2656" ht="14"/>
    <row r="2657" ht="14"/>
    <row r="2658" ht="14"/>
    <row r="2659" ht="14"/>
    <row r="2660" ht="14"/>
    <row r="2661" ht="14"/>
    <row r="2662" ht="14"/>
    <row r="2663" ht="14"/>
    <row r="2664" ht="14"/>
    <row r="2665" ht="14"/>
    <row r="2666" ht="14"/>
    <row r="2667" ht="14"/>
    <row r="2668" ht="14"/>
    <row r="2669" ht="14"/>
    <row r="2670" ht="14"/>
    <row r="2671" ht="14"/>
    <row r="2672" ht="14"/>
    <row r="2673" ht="14"/>
    <row r="2674" ht="14"/>
    <row r="2675" ht="14"/>
    <row r="2676" ht="14"/>
    <row r="2677" ht="14"/>
    <row r="2678" ht="14"/>
    <row r="2679" ht="14"/>
    <row r="2680" ht="14"/>
    <row r="2681" ht="14"/>
    <row r="2682" ht="14"/>
    <row r="2683" ht="14"/>
    <row r="2684" ht="14"/>
    <row r="2685" ht="14"/>
    <row r="2686" ht="14"/>
    <row r="2687" ht="14"/>
    <row r="2688" ht="14"/>
    <row r="2689" ht="14"/>
    <row r="2690" ht="14"/>
    <row r="2691" ht="14"/>
    <row r="2692" ht="14"/>
    <row r="2693" ht="14"/>
    <row r="2694" ht="14"/>
    <row r="2695" ht="14"/>
    <row r="2696" ht="14"/>
    <row r="2697" ht="14"/>
    <row r="2698" ht="14"/>
    <row r="2699" ht="14"/>
    <row r="2700" ht="14"/>
    <row r="2701" ht="14"/>
    <row r="2702" ht="14"/>
    <row r="2703" ht="14"/>
    <row r="2704" ht="14"/>
    <row r="2705" ht="14"/>
    <row r="2706" ht="14"/>
    <row r="2707" ht="14"/>
    <row r="2708" ht="14"/>
    <row r="2709" ht="14"/>
    <row r="2710" ht="14"/>
    <row r="2711" ht="14"/>
    <row r="2712" ht="14"/>
    <row r="2713" ht="14"/>
    <row r="2714" ht="14"/>
    <row r="2715" ht="14"/>
    <row r="2716" ht="14"/>
    <row r="2717" ht="14"/>
    <row r="2718" ht="14"/>
    <row r="2719" ht="14"/>
    <row r="2720" ht="14"/>
    <row r="2721" ht="14"/>
    <row r="2722" ht="14"/>
    <row r="2723" ht="14"/>
    <row r="2724" ht="14"/>
    <row r="2725" ht="14"/>
    <row r="2726" ht="14"/>
    <row r="2727" ht="14"/>
    <row r="2728" ht="14"/>
    <row r="2729" ht="14"/>
    <row r="2730" ht="14"/>
    <row r="2731" ht="14"/>
    <row r="2732" ht="14"/>
    <row r="2733" ht="14"/>
    <row r="2734" ht="14"/>
    <row r="2735" ht="14"/>
    <row r="2736" ht="14"/>
    <row r="2737" ht="14"/>
    <row r="2738" ht="14"/>
    <row r="2739" ht="14"/>
    <row r="2740" ht="14"/>
    <row r="2741" ht="14"/>
    <row r="2742" ht="14"/>
    <row r="2743" ht="14"/>
    <row r="2744" ht="14"/>
    <row r="2745" ht="14"/>
    <row r="2746" ht="14"/>
    <row r="2747" ht="14"/>
    <row r="2748" ht="14"/>
    <row r="2749" ht="14"/>
    <row r="2750" ht="14"/>
    <row r="2751" ht="14"/>
    <row r="2752" ht="14"/>
    <row r="2753" ht="14"/>
    <row r="2754" ht="14"/>
    <row r="2755" ht="14"/>
    <row r="2756" ht="14"/>
    <row r="2757" ht="14"/>
    <row r="2758" ht="14"/>
    <row r="2759" ht="14"/>
    <row r="2760" ht="14"/>
    <row r="2761" ht="14"/>
    <row r="2762" ht="14"/>
    <row r="2763" ht="14"/>
    <row r="2764" ht="14"/>
    <row r="2765" ht="14"/>
    <row r="2766" ht="14"/>
    <row r="2767" ht="14"/>
    <row r="2768" ht="14"/>
    <row r="2769" ht="14"/>
    <row r="2770" ht="14"/>
    <row r="2771" ht="14"/>
    <row r="2772" ht="14"/>
    <row r="2773" ht="14"/>
    <row r="2774" ht="14"/>
    <row r="2775" ht="14"/>
    <row r="2776" ht="14"/>
    <row r="2777" ht="14"/>
    <row r="2778" ht="14"/>
    <row r="2779" ht="14"/>
    <row r="2780" ht="14"/>
    <row r="2781" ht="14"/>
    <row r="2782" ht="14"/>
    <row r="2783" ht="14"/>
    <row r="2784" ht="14"/>
    <row r="2785" ht="14"/>
    <row r="2786" ht="14"/>
    <row r="2787" ht="14"/>
    <row r="2788" ht="14"/>
    <row r="2789" ht="14"/>
    <row r="2790" ht="14"/>
    <row r="2791" ht="14"/>
    <row r="2792" ht="14"/>
    <row r="2793" ht="14"/>
    <row r="2794" ht="14"/>
    <row r="2795" ht="14"/>
    <row r="2796" ht="14"/>
    <row r="2797" ht="14"/>
    <row r="2798" ht="14"/>
    <row r="2799" ht="14"/>
    <row r="2800" ht="14"/>
    <row r="2801" ht="14"/>
    <row r="2802" ht="14"/>
    <row r="2803" ht="14"/>
    <row r="2804" ht="14"/>
    <row r="2805" ht="14"/>
    <row r="2806" ht="14"/>
    <row r="2807" ht="14"/>
    <row r="2808" ht="14"/>
    <row r="2809" ht="14"/>
    <row r="2810" ht="14"/>
    <row r="2811" ht="14"/>
    <row r="2812" ht="14"/>
    <row r="2813" ht="14"/>
    <row r="2814" ht="14"/>
    <row r="2815" ht="14"/>
    <row r="2816" ht="14"/>
    <row r="2817" ht="14"/>
    <row r="2818" ht="14"/>
    <row r="2819" ht="14"/>
    <row r="2820" ht="14"/>
    <row r="2821" ht="14"/>
    <row r="2822" ht="14"/>
    <row r="2823" ht="14"/>
    <row r="2824" ht="14"/>
    <row r="2825" ht="14"/>
    <row r="2826" ht="14"/>
    <row r="2827" ht="14"/>
    <row r="2828" ht="14"/>
    <row r="2829" ht="14"/>
    <row r="2830" ht="14"/>
    <row r="2831" ht="14"/>
    <row r="2832" ht="14"/>
    <row r="2833" ht="14"/>
    <row r="2834" ht="14"/>
    <row r="2835" ht="14"/>
    <row r="2836" ht="14"/>
    <row r="2837" ht="14"/>
    <row r="2838" ht="14"/>
    <row r="2839" ht="14"/>
    <row r="2840" ht="14"/>
    <row r="2841" ht="14"/>
    <row r="2842" ht="14"/>
    <row r="2843" ht="14"/>
    <row r="2844" ht="14"/>
    <row r="2845" ht="14"/>
    <row r="2846" ht="14"/>
    <row r="2847" ht="14"/>
    <row r="2848" ht="14"/>
    <row r="2849" ht="14"/>
    <row r="2850" ht="14"/>
    <row r="2851" ht="14"/>
    <row r="2852" ht="14"/>
    <row r="2853" ht="14"/>
    <row r="2854" ht="14"/>
    <row r="2855" ht="14"/>
    <row r="2856" ht="14"/>
    <row r="2857" ht="14"/>
    <row r="2858" ht="14"/>
    <row r="2859" ht="14"/>
    <row r="2860" ht="14"/>
    <row r="2861" ht="14"/>
    <row r="2862" ht="14"/>
    <row r="2863" ht="14"/>
    <row r="2864" ht="14"/>
    <row r="2865" ht="14"/>
    <row r="2866" ht="14"/>
    <row r="2867" ht="14"/>
    <row r="2868" ht="14"/>
    <row r="2869" ht="14"/>
    <row r="2870" ht="14"/>
    <row r="2871" ht="14"/>
    <row r="2872" ht="14"/>
    <row r="2873" ht="14"/>
    <row r="2874" ht="14"/>
    <row r="2875" ht="14"/>
    <row r="2876" ht="14"/>
    <row r="2877" ht="14"/>
    <row r="2878" ht="14"/>
    <row r="2879" ht="14"/>
    <row r="2880" ht="14"/>
    <row r="2881" ht="14"/>
    <row r="2882" ht="14"/>
    <row r="2883" ht="14"/>
    <row r="2884" ht="14"/>
    <row r="2885" ht="14"/>
    <row r="2886" ht="14"/>
    <row r="2887" ht="14"/>
    <row r="2888" ht="14"/>
    <row r="2889" ht="14"/>
    <row r="2890" ht="14"/>
    <row r="2891" ht="14"/>
    <row r="2892" ht="14"/>
    <row r="2893" ht="14"/>
    <row r="2894" ht="14"/>
    <row r="2895" ht="14"/>
    <row r="2896" ht="14"/>
    <row r="2897" ht="14"/>
    <row r="2898" ht="14"/>
    <row r="2899" ht="14"/>
    <row r="2900" ht="14"/>
    <row r="2901" ht="14"/>
    <row r="2902" ht="14"/>
    <row r="2903" ht="14"/>
    <row r="2904" ht="14"/>
    <row r="2905" ht="14"/>
    <row r="2906" ht="14"/>
    <row r="2907" ht="14"/>
    <row r="2908" ht="14"/>
    <row r="2909" ht="14"/>
    <row r="2910" ht="14"/>
    <row r="2911" ht="14"/>
    <row r="2912" ht="14"/>
    <row r="2913" ht="14"/>
    <row r="2914" ht="14"/>
    <row r="2915" ht="14"/>
    <row r="2916" ht="14"/>
    <row r="2917" ht="14"/>
    <row r="2918" ht="14"/>
    <row r="2919" ht="14"/>
    <row r="2920" ht="14"/>
    <row r="2921" ht="14"/>
    <row r="2922" ht="14"/>
    <row r="2923" ht="14"/>
    <row r="2924" ht="14"/>
    <row r="2925" ht="14"/>
    <row r="2926" ht="14"/>
    <row r="2927" ht="14"/>
    <row r="2928" ht="14"/>
    <row r="2929" ht="14"/>
    <row r="2930" ht="14"/>
    <row r="2931" ht="14"/>
    <row r="2932" ht="14"/>
    <row r="2933" ht="14"/>
    <row r="2934" ht="14"/>
    <row r="2935" ht="14"/>
    <row r="2936" ht="14"/>
    <row r="2937" ht="14"/>
    <row r="2938" ht="14"/>
    <row r="2939" ht="14"/>
    <row r="2940" ht="14"/>
    <row r="2941" ht="14"/>
    <row r="2942" ht="14"/>
    <row r="2943" ht="14"/>
    <row r="2944" ht="14"/>
    <row r="2945" ht="14"/>
    <row r="2946" ht="14"/>
    <row r="2947" ht="14"/>
    <row r="2948" ht="14"/>
    <row r="2949" ht="14"/>
    <row r="2950" ht="14"/>
    <row r="2951" ht="14"/>
    <row r="2952" ht="14"/>
    <row r="2953" ht="14"/>
    <row r="2954" ht="14"/>
    <row r="2955" ht="14"/>
    <row r="2956" ht="14"/>
    <row r="2957" ht="14"/>
    <row r="2958" ht="14"/>
    <row r="2959" ht="14"/>
    <row r="2960" ht="14"/>
    <row r="2961" ht="14"/>
    <row r="2962" ht="14"/>
    <row r="2963" ht="14"/>
    <row r="2964" ht="14"/>
    <row r="2965" ht="14"/>
    <row r="2966" ht="14"/>
    <row r="2967" ht="14"/>
    <row r="2968" ht="14"/>
    <row r="2969" ht="14"/>
    <row r="2970" ht="14"/>
    <row r="2971" ht="14"/>
    <row r="2972" ht="14"/>
    <row r="2973" ht="14"/>
    <row r="2974" ht="14"/>
    <row r="2975" ht="14"/>
    <row r="2976" ht="14"/>
    <row r="2977" ht="14"/>
    <row r="2978" ht="14"/>
    <row r="2979" ht="14"/>
    <row r="2980" ht="14"/>
    <row r="2981" ht="14"/>
    <row r="2982" ht="14"/>
    <row r="2983" ht="14"/>
    <row r="2984" ht="14"/>
    <row r="2985" ht="14"/>
    <row r="2986" ht="14"/>
    <row r="2987" ht="14"/>
    <row r="2988" ht="14"/>
    <row r="2989" ht="14"/>
    <row r="2990" ht="14"/>
    <row r="2991" ht="14"/>
    <row r="2992" ht="14"/>
    <row r="2993" ht="14"/>
    <row r="2994" ht="14"/>
    <row r="2995" ht="14"/>
    <row r="2996" ht="14"/>
    <row r="2997" ht="14"/>
    <row r="2998" ht="14"/>
    <row r="2999" ht="14"/>
    <row r="3000" ht="14"/>
    <row r="3001" ht="14"/>
    <row r="3002" ht="14"/>
    <row r="3003" ht="14"/>
    <row r="3004" ht="14"/>
    <row r="3005" ht="14"/>
    <row r="3006" ht="14"/>
    <row r="3007" ht="14"/>
    <row r="3008" ht="14"/>
    <row r="3009" ht="14"/>
    <row r="3010" ht="14"/>
    <row r="3011" ht="14"/>
    <row r="3012" ht="14"/>
    <row r="3013" ht="14"/>
    <row r="3014" ht="14"/>
    <row r="3015" ht="14"/>
    <row r="3016" ht="14"/>
    <row r="3017" ht="14"/>
    <row r="3018" ht="14"/>
    <row r="3019" ht="14"/>
    <row r="3020" ht="14"/>
    <row r="3021" ht="14"/>
    <row r="3022" ht="14"/>
    <row r="3023" ht="14"/>
    <row r="3024" ht="14"/>
    <row r="3025" ht="14"/>
    <row r="3026" ht="14"/>
    <row r="3027" ht="14"/>
    <row r="3028" ht="14"/>
    <row r="3029" ht="14"/>
    <row r="3030" ht="14"/>
    <row r="3031" ht="14"/>
    <row r="3032" ht="14"/>
    <row r="3033" ht="14"/>
    <row r="3034" ht="14"/>
    <row r="3035" ht="14"/>
    <row r="3036" ht="14"/>
    <row r="3037" ht="14"/>
    <row r="3038" ht="14"/>
    <row r="3039" ht="14"/>
    <row r="3040" ht="14"/>
    <row r="3041" ht="14"/>
    <row r="3042" ht="14"/>
    <row r="3043" ht="14"/>
    <row r="3044" ht="14"/>
    <row r="3045" ht="14"/>
    <row r="3046" ht="14"/>
    <row r="3047" ht="14"/>
    <row r="3048" ht="14"/>
    <row r="3049" ht="14"/>
    <row r="3050" ht="14"/>
    <row r="3051" ht="14"/>
    <row r="3052" ht="14"/>
    <row r="3053" ht="14"/>
    <row r="3054" ht="14"/>
    <row r="3055" ht="14"/>
    <row r="3056" ht="14"/>
    <row r="3057" ht="14"/>
    <row r="3058" ht="14"/>
    <row r="3059" ht="14"/>
    <row r="3060" ht="14"/>
    <row r="3061" ht="14"/>
    <row r="3062" ht="14"/>
    <row r="3063" ht="14"/>
    <row r="3064" ht="14"/>
    <row r="3065" ht="14"/>
    <row r="3066" ht="14"/>
    <row r="3067" ht="14"/>
    <row r="3068" ht="14"/>
    <row r="3069" ht="14"/>
    <row r="3070" ht="14"/>
    <row r="3071" ht="14"/>
    <row r="3072" ht="14"/>
    <row r="3073" ht="14"/>
    <row r="3074" ht="14"/>
    <row r="3075" ht="14"/>
    <row r="3076" ht="14"/>
    <row r="3077" ht="14"/>
    <row r="3078" ht="14"/>
    <row r="3079" ht="14"/>
    <row r="3080" ht="14"/>
    <row r="3081" ht="14"/>
    <row r="3082" ht="14"/>
    <row r="3083" ht="14"/>
    <row r="3084" ht="14"/>
    <row r="3085" ht="14"/>
    <row r="3086" ht="14"/>
    <row r="3087" ht="14"/>
    <row r="3088" ht="14"/>
    <row r="3089" ht="14"/>
    <row r="3090" ht="14"/>
    <row r="3091" ht="14"/>
    <row r="3092" ht="14"/>
    <row r="3093" ht="14"/>
    <row r="3094" ht="14"/>
    <row r="3095" ht="14"/>
    <row r="3096" ht="14"/>
    <row r="3097" ht="14"/>
    <row r="3098" ht="14"/>
    <row r="3099" ht="14"/>
    <row r="3100" ht="14"/>
    <row r="3101" ht="14"/>
    <row r="3102" ht="14"/>
    <row r="3103" ht="14"/>
    <row r="3104" ht="14"/>
    <row r="3105" ht="14"/>
    <row r="3106" ht="14"/>
    <row r="3107" ht="14"/>
    <row r="3108" ht="14"/>
    <row r="3109" ht="14"/>
    <row r="3110" ht="14"/>
    <row r="3111" ht="14"/>
    <row r="3112" ht="14"/>
    <row r="3113" ht="14"/>
    <row r="3114" ht="14"/>
    <row r="3115" ht="14"/>
    <row r="3116" ht="14"/>
    <row r="3117" ht="14"/>
    <row r="3118" ht="14"/>
    <row r="3119" ht="14"/>
    <row r="3120" ht="14"/>
    <row r="3121" ht="14"/>
    <row r="3122" ht="14"/>
    <row r="3123" ht="14"/>
    <row r="3124" ht="14"/>
    <row r="3125" ht="14"/>
    <row r="3126" ht="14"/>
    <row r="3127" ht="14"/>
    <row r="3128" ht="14"/>
    <row r="3129" ht="14"/>
    <row r="3130" ht="14"/>
    <row r="3131" ht="14"/>
    <row r="3132" ht="14"/>
    <row r="3133" ht="14"/>
    <row r="3134" ht="14"/>
    <row r="3135" ht="14"/>
    <row r="3136" ht="14"/>
    <row r="3137" ht="14"/>
    <row r="3138" ht="14"/>
    <row r="3139" ht="14"/>
    <row r="3140" ht="14"/>
    <row r="3141" ht="14"/>
    <row r="3142" ht="14"/>
    <row r="3143" ht="14"/>
    <row r="3144" ht="14"/>
    <row r="3145" ht="14"/>
    <row r="3146" ht="14"/>
    <row r="3147" ht="14"/>
    <row r="3148" ht="14"/>
    <row r="3149" ht="14"/>
    <row r="3150" ht="14"/>
    <row r="3151" ht="14"/>
    <row r="3152" ht="14"/>
    <row r="3153" ht="14"/>
    <row r="3154" ht="14"/>
    <row r="3155" ht="14"/>
    <row r="3156" ht="14"/>
    <row r="3157" ht="14"/>
    <row r="3158" ht="14"/>
    <row r="3159" ht="14"/>
    <row r="3160" ht="14"/>
    <row r="3161" ht="14"/>
    <row r="3162" ht="14"/>
    <row r="3163" ht="14"/>
    <row r="3164" ht="14"/>
    <row r="3165" ht="14"/>
    <row r="3166" ht="14"/>
    <row r="3167" ht="14"/>
    <row r="3168" ht="14"/>
    <row r="3169" ht="14"/>
    <row r="3170" ht="14"/>
    <row r="3171" ht="14"/>
    <row r="3172" ht="14"/>
    <row r="3173" ht="14"/>
    <row r="3174" ht="14"/>
    <row r="3175" ht="14"/>
    <row r="3176" ht="14"/>
    <row r="3177" ht="14"/>
    <row r="3178" ht="14"/>
    <row r="3179" ht="14"/>
    <row r="3180" ht="14"/>
    <row r="3181" ht="14"/>
    <row r="3182" ht="14"/>
    <row r="3183" ht="14"/>
    <row r="3184" ht="14"/>
    <row r="3185" ht="14"/>
    <row r="3186" ht="14"/>
    <row r="3187" ht="14"/>
    <row r="3188" ht="14"/>
    <row r="3189" ht="14"/>
    <row r="3190" ht="14"/>
    <row r="3191" ht="14"/>
    <row r="3192" ht="14"/>
    <row r="3193" ht="14"/>
    <row r="3194" ht="14"/>
    <row r="3195" ht="14"/>
    <row r="3196" ht="14"/>
    <row r="3197" ht="14"/>
    <row r="3198" ht="14"/>
    <row r="3199" ht="14"/>
    <row r="3200" ht="14"/>
    <row r="3201" ht="14"/>
    <row r="3202" ht="14"/>
    <row r="3203" ht="14"/>
    <row r="3204" ht="14"/>
    <row r="3205" ht="14"/>
    <row r="3206" ht="14"/>
    <row r="3207" ht="14"/>
    <row r="3208" ht="14"/>
    <row r="3209" ht="14"/>
    <row r="3210" ht="14"/>
    <row r="3211" ht="14"/>
    <row r="3212" ht="14"/>
    <row r="3213" ht="14"/>
    <row r="3214" ht="14"/>
    <row r="3215" ht="14"/>
    <row r="3216" ht="14"/>
    <row r="3217" ht="14"/>
    <row r="3218" ht="14"/>
    <row r="3219" ht="14"/>
    <row r="3220" ht="14"/>
    <row r="3221" ht="14"/>
    <row r="3222" ht="14"/>
    <row r="3223" ht="14"/>
    <row r="3224" ht="14"/>
    <row r="3225" ht="14"/>
    <row r="3226" ht="14"/>
    <row r="3227" ht="14"/>
    <row r="3228" ht="14"/>
    <row r="3229" ht="14"/>
    <row r="3230" ht="14"/>
    <row r="3231" ht="14"/>
    <row r="3232" ht="14"/>
    <row r="3233" ht="14"/>
    <row r="3234" ht="14"/>
    <row r="3235" ht="14"/>
    <row r="3236" ht="14"/>
    <row r="3237" ht="14"/>
    <row r="3238" ht="14"/>
    <row r="3239" ht="14"/>
    <row r="3240" ht="14"/>
    <row r="3241" ht="14"/>
    <row r="3242" ht="14"/>
    <row r="3243" ht="14"/>
    <row r="3244" ht="14"/>
    <row r="3245" ht="14"/>
    <row r="3246" ht="14"/>
    <row r="3247" ht="14"/>
    <row r="3248" ht="14"/>
    <row r="3249" ht="14"/>
    <row r="3250" ht="14"/>
    <row r="3251" ht="14"/>
    <row r="3252" ht="14"/>
    <row r="3253" ht="14"/>
    <row r="3254" ht="14"/>
    <row r="3255" ht="14"/>
    <row r="3256" ht="14"/>
    <row r="3257" ht="14"/>
    <row r="3258" ht="14"/>
    <row r="3259" ht="14"/>
    <row r="3260" ht="14"/>
    <row r="3261" ht="14"/>
    <row r="3262" ht="14"/>
    <row r="3263" ht="14"/>
    <row r="3264" ht="14"/>
    <row r="3265" ht="14"/>
    <row r="3266" ht="14"/>
    <row r="3267" ht="14"/>
    <row r="3268" ht="14"/>
    <row r="3269" ht="14"/>
    <row r="3270" ht="14"/>
    <row r="3271" ht="14"/>
    <row r="3272" ht="14"/>
    <row r="3273" ht="14"/>
    <row r="3274" ht="14"/>
    <row r="3275" ht="14"/>
    <row r="3276" ht="14"/>
    <row r="3277" ht="14"/>
    <row r="3278" ht="14"/>
    <row r="3279" ht="14"/>
    <row r="3280" ht="14"/>
    <row r="3281" ht="14"/>
    <row r="3282" ht="14"/>
    <row r="3283" ht="14"/>
    <row r="3284" ht="14"/>
    <row r="3285" ht="14"/>
    <row r="3286" ht="14"/>
    <row r="3287" ht="14"/>
    <row r="3288" ht="14"/>
    <row r="3289" ht="14"/>
    <row r="3290" ht="14"/>
    <row r="3291" ht="14"/>
    <row r="3292" ht="14"/>
    <row r="3293" ht="14"/>
    <row r="3294" ht="14"/>
    <row r="3295" ht="14"/>
    <row r="3296" ht="14"/>
    <row r="3297" ht="14"/>
    <row r="3298" ht="14"/>
    <row r="3299" ht="14"/>
    <row r="3300" ht="14"/>
    <row r="3301" ht="14"/>
    <row r="3302" ht="14"/>
    <row r="3303" ht="14"/>
    <row r="3304" ht="14"/>
    <row r="3305" ht="14"/>
    <row r="3306" ht="14"/>
    <row r="3307" ht="14"/>
    <row r="3308" ht="14"/>
    <row r="3309" ht="14"/>
    <row r="3310" ht="14"/>
    <row r="3311" ht="14"/>
    <row r="3312" ht="14"/>
    <row r="3313" ht="14"/>
    <row r="3314" ht="14"/>
    <row r="3315" ht="14"/>
    <row r="3316" ht="14"/>
    <row r="3317" ht="14"/>
    <row r="3318" ht="14"/>
    <row r="3319" ht="14"/>
    <row r="3320" ht="14"/>
    <row r="3321" ht="14"/>
    <row r="3322" ht="14"/>
    <row r="3323" ht="14"/>
    <row r="3324" ht="14"/>
    <row r="3325" ht="14"/>
    <row r="3326" ht="14"/>
    <row r="3327" ht="14"/>
    <row r="3328" ht="14"/>
    <row r="3329" ht="14"/>
    <row r="3330" ht="14"/>
    <row r="3331" ht="14"/>
    <row r="3332" ht="14"/>
    <row r="3333" ht="14"/>
    <row r="3334" ht="14"/>
    <row r="3335" ht="14"/>
    <row r="3336" ht="14"/>
    <row r="3337" ht="14"/>
    <row r="3338" ht="14"/>
    <row r="3339" ht="14"/>
    <row r="3340" ht="14"/>
    <row r="3341" ht="14"/>
    <row r="3342" ht="14"/>
    <row r="3343" ht="14"/>
    <row r="3344" ht="14"/>
    <row r="3345" ht="14"/>
    <row r="3346" ht="14"/>
    <row r="3347" ht="14"/>
    <row r="3348" ht="14"/>
    <row r="3349" ht="14"/>
    <row r="3350" ht="14"/>
    <row r="3351" ht="14"/>
    <row r="3352" ht="14"/>
    <row r="3353" ht="14"/>
    <row r="3354" ht="14"/>
    <row r="3355" ht="14"/>
    <row r="3356" ht="14"/>
    <row r="3357" ht="14"/>
    <row r="3358" ht="14"/>
    <row r="3359" ht="14"/>
    <row r="3360" ht="14"/>
    <row r="3361" ht="14"/>
    <row r="3362" ht="14"/>
    <row r="3363" ht="14"/>
    <row r="3364" ht="14"/>
    <row r="3365" ht="14"/>
    <row r="3366" ht="14"/>
    <row r="3367" ht="14"/>
    <row r="3368" ht="14"/>
    <row r="3369" ht="14"/>
    <row r="3370" ht="14"/>
    <row r="3371" ht="14"/>
    <row r="3372" ht="14"/>
    <row r="3373" ht="14"/>
    <row r="3374" ht="14"/>
    <row r="3375" ht="14"/>
    <row r="3376" ht="14"/>
    <row r="3377" ht="14"/>
    <row r="3378" ht="14"/>
    <row r="3379" ht="14"/>
    <row r="3380" ht="14"/>
    <row r="3381" ht="14"/>
    <row r="3382" ht="14"/>
    <row r="3383" ht="14"/>
    <row r="3384" ht="14"/>
    <row r="3385" ht="14"/>
    <row r="3386" ht="14"/>
    <row r="3387" ht="14"/>
    <row r="3388" ht="14"/>
    <row r="3389" ht="14"/>
    <row r="3390" ht="14"/>
    <row r="3391" ht="14"/>
    <row r="3392" ht="14"/>
    <row r="3393" ht="14"/>
    <row r="3394" ht="14"/>
    <row r="3395" ht="14"/>
    <row r="3396" ht="14"/>
    <row r="3397" ht="14"/>
    <row r="3398" ht="14"/>
    <row r="3399" ht="14"/>
    <row r="3400" ht="14"/>
    <row r="3401" ht="14"/>
    <row r="3402" ht="14"/>
    <row r="3403" ht="14"/>
    <row r="3404" ht="14"/>
    <row r="3405" ht="14"/>
    <row r="3406" ht="14"/>
    <row r="3407" ht="14"/>
    <row r="3408" ht="14"/>
    <row r="3409" ht="14"/>
    <row r="3410" ht="14"/>
    <row r="3411" ht="14"/>
    <row r="3412" ht="14"/>
    <row r="3413" ht="14"/>
    <row r="3414" ht="14"/>
    <row r="3415" ht="14"/>
    <row r="3416" ht="14"/>
    <row r="3417" ht="14"/>
    <row r="3418" ht="14"/>
    <row r="3419" ht="14"/>
    <row r="3420" ht="14"/>
    <row r="3421" ht="14"/>
    <row r="3422" ht="14"/>
    <row r="3423" ht="14"/>
    <row r="3424" ht="14"/>
    <row r="3425" ht="14"/>
    <row r="3426" ht="14"/>
    <row r="3427" ht="14"/>
    <row r="3428" ht="14"/>
    <row r="3429" ht="14"/>
    <row r="3430" ht="14"/>
    <row r="3431" ht="14"/>
    <row r="3432" ht="14"/>
    <row r="3433" ht="14"/>
    <row r="3434" ht="14"/>
    <row r="3435" ht="14"/>
    <row r="3436" ht="14"/>
    <row r="3437" ht="14"/>
    <row r="3438" ht="14"/>
    <row r="3439" ht="14"/>
    <row r="3440" ht="14"/>
    <row r="3441" ht="14"/>
    <row r="3442" ht="14"/>
    <row r="3443" ht="14"/>
    <row r="3444" ht="14"/>
    <row r="3445" ht="14"/>
    <row r="3446" ht="14"/>
    <row r="3447" ht="14"/>
    <row r="3448" ht="14"/>
    <row r="3449" ht="14"/>
    <row r="3450" ht="14"/>
    <row r="3451" ht="14"/>
    <row r="3452" ht="14"/>
    <row r="3453" ht="14"/>
    <row r="3454" ht="14"/>
    <row r="3455" ht="14"/>
    <row r="3456" ht="14"/>
    <row r="3457" ht="14"/>
    <row r="3458" ht="14"/>
    <row r="3459" ht="14"/>
    <row r="3460" ht="14"/>
    <row r="3461" ht="14"/>
    <row r="3462" ht="14"/>
    <row r="3463" ht="14"/>
    <row r="3464" ht="14"/>
    <row r="3465" ht="14"/>
    <row r="3466" ht="14"/>
    <row r="3467" ht="14"/>
    <row r="3468" ht="14"/>
    <row r="3469" ht="14"/>
    <row r="3470" ht="14"/>
    <row r="3471" ht="14"/>
    <row r="3472" ht="14"/>
    <row r="3473" ht="14"/>
    <row r="3474" ht="14"/>
    <row r="3475" ht="14"/>
    <row r="3476" ht="14"/>
    <row r="3477" ht="14"/>
    <row r="3478" ht="14"/>
    <row r="3479" ht="14"/>
    <row r="3480" ht="14"/>
    <row r="3481" ht="14"/>
    <row r="3482" ht="14"/>
    <row r="3483" ht="14"/>
    <row r="3484" ht="14"/>
    <row r="3485" ht="14"/>
    <row r="3486" ht="14"/>
    <row r="3487" ht="14"/>
    <row r="3488" ht="14"/>
    <row r="3489" ht="14"/>
    <row r="3490" ht="14"/>
    <row r="3491" ht="14"/>
    <row r="3492" ht="14"/>
    <row r="3493" ht="14"/>
    <row r="3494" ht="14"/>
    <row r="3495" ht="14"/>
    <row r="3496" ht="14"/>
    <row r="3497" ht="14"/>
    <row r="3498" ht="14"/>
    <row r="3499" ht="14"/>
    <row r="3500" ht="14"/>
    <row r="3501" ht="14"/>
    <row r="3502" ht="14"/>
    <row r="3503" ht="14"/>
    <row r="3504" ht="14"/>
    <row r="3505" ht="14"/>
    <row r="3506" ht="14"/>
    <row r="3507" ht="14"/>
    <row r="3508" ht="14"/>
    <row r="3509" ht="14"/>
    <row r="3510" ht="14"/>
    <row r="3511" ht="14"/>
    <row r="3512" ht="14"/>
    <row r="3513" ht="14"/>
    <row r="3514" ht="14"/>
    <row r="3515" ht="14"/>
    <row r="3516" ht="14"/>
    <row r="3517" ht="14"/>
    <row r="3518" ht="14"/>
    <row r="3519" ht="14"/>
    <row r="3520" ht="14"/>
    <row r="3521" ht="14"/>
    <row r="3522" ht="14"/>
    <row r="3523" ht="14"/>
    <row r="3524" ht="14"/>
    <row r="3525" ht="14"/>
    <row r="3526" ht="14"/>
    <row r="3527" ht="14"/>
    <row r="3528" ht="14"/>
    <row r="3529" ht="14"/>
    <row r="3530" ht="14"/>
    <row r="3531" ht="14"/>
    <row r="3532" ht="14"/>
    <row r="3533" ht="14"/>
    <row r="3534" ht="14"/>
    <row r="3535" ht="14"/>
    <row r="3536" ht="14"/>
    <row r="3537" ht="14"/>
    <row r="3538" ht="14"/>
    <row r="3539" ht="14"/>
    <row r="3540" ht="14"/>
    <row r="3541" ht="14"/>
    <row r="3542" ht="14"/>
    <row r="3543" ht="14"/>
    <row r="3544" ht="14"/>
    <row r="3545" ht="14"/>
    <row r="3546" ht="14"/>
    <row r="3547" ht="14"/>
    <row r="3548" ht="14"/>
    <row r="3549" ht="14"/>
    <row r="3550" ht="14"/>
    <row r="3551" ht="14"/>
    <row r="3552" ht="14"/>
    <row r="3553" ht="14"/>
    <row r="3554" ht="14"/>
    <row r="3555" ht="14"/>
    <row r="3556" ht="14"/>
    <row r="3557" ht="14"/>
    <row r="3558" ht="14"/>
    <row r="3559" ht="14"/>
    <row r="3560" ht="14"/>
    <row r="3561" ht="14"/>
    <row r="3562" ht="14"/>
    <row r="3563" ht="14"/>
    <row r="3564" ht="14"/>
    <row r="3565" ht="14"/>
    <row r="3566" ht="14"/>
    <row r="3567" ht="14"/>
    <row r="3568" ht="14"/>
    <row r="3569" ht="14"/>
    <row r="3570" ht="14"/>
    <row r="3571" ht="14"/>
    <row r="3572" ht="14"/>
    <row r="3573" ht="14"/>
    <row r="3574" ht="14"/>
    <row r="3575" ht="14"/>
    <row r="3576" ht="14"/>
    <row r="3577" ht="14"/>
    <row r="3578" ht="14"/>
    <row r="3579" ht="14"/>
    <row r="3580" ht="14"/>
    <row r="3581" ht="14"/>
    <row r="3582" ht="14"/>
    <row r="3583" ht="14"/>
    <row r="3584" ht="14"/>
    <row r="3585" ht="14"/>
    <row r="3586" ht="14"/>
    <row r="3587" ht="14"/>
    <row r="3588" ht="14"/>
    <row r="3589" ht="14"/>
    <row r="3590" ht="14"/>
    <row r="3591" ht="14"/>
    <row r="3592" ht="14"/>
    <row r="3593" ht="14"/>
    <row r="3594" ht="14"/>
    <row r="3595" ht="14"/>
    <row r="3596" ht="14"/>
    <row r="3597" ht="14"/>
    <row r="3598" ht="14"/>
    <row r="3599" ht="14"/>
    <row r="3600" ht="14"/>
    <row r="3601" ht="14"/>
    <row r="3602" ht="14"/>
    <row r="3603" ht="14"/>
    <row r="3604" ht="14"/>
    <row r="3605" ht="14"/>
    <row r="3606" ht="14"/>
    <row r="3607" ht="14"/>
    <row r="3608" ht="14"/>
    <row r="3609" ht="14"/>
    <row r="3610" ht="14"/>
    <row r="3611" ht="14"/>
    <row r="3612" ht="14"/>
    <row r="3613" ht="14"/>
    <row r="3614" ht="14"/>
    <row r="3615" ht="14"/>
    <row r="3616" ht="14"/>
    <row r="3617" ht="14"/>
    <row r="3618" ht="14"/>
    <row r="3619" ht="14"/>
    <row r="3620" ht="14"/>
    <row r="3621" ht="14"/>
    <row r="3622" ht="14"/>
    <row r="3623" ht="14"/>
    <row r="3624" ht="14"/>
    <row r="3625" ht="14"/>
    <row r="3626" ht="14"/>
    <row r="3627" ht="14"/>
    <row r="3628" ht="14"/>
    <row r="3629" ht="14"/>
    <row r="3630" ht="14"/>
    <row r="3631" ht="14"/>
    <row r="3632" ht="14"/>
    <row r="3633" ht="14"/>
    <row r="3634" ht="14"/>
    <row r="3635" ht="14"/>
    <row r="3636" ht="14"/>
    <row r="3637" ht="14"/>
    <row r="3638" ht="14"/>
    <row r="3639" ht="14"/>
    <row r="3640" ht="14"/>
    <row r="3641" ht="14"/>
    <row r="3642" ht="14"/>
    <row r="3643" ht="14"/>
    <row r="3644" ht="14"/>
    <row r="3645" ht="14"/>
    <row r="3646" ht="14"/>
    <row r="3647" ht="14"/>
    <row r="3648" ht="14"/>
    <row r="3649" ht="14"/>
    <row r="3650" ht="14"/>
    <row r="3651" ht="14"/>
    <row r="3652" ht="14"/>
    <row r="3653" ht="14"/>
    <row r="3654" ht="14"/>
    <row r="3655" ht="14"/>
    <row r="3656" ht="14"/>
    <row r="3657" ht="14"/>
    <row r="3658" ht="14"/>
    <row r="3659" ht="14"/>
    <row r="3660" ht="14"/>
    <row r="3661" ht="14"/>
    <row r="3662" ht="14"/>
    <row r="3663" ht="14"/>
    <row r="3664" ht="14"/>
    <row r="3665" ht="14"/>
    <row r="3666" ht="14"/>
    <row r="3667" ht="14"/>
    <row r="3668" ht="14"/>
    <row r="3669" ht="14"/>
    <row r="3670" ht="14"/>
    <row r="3671" ht="14"/>
    <row r="3672" ht="14"/>
    <row r="3673" ht="14"/>
    <row r="3674" ht="14"/>
    <row r="3675" ht="14"/>
    <row r="3676" ht="14"/>
    <row r="3677" ht="14"/>
    <row r="3678" ht="14"/>
    <row r="3679" ht="14"/>
    <row r="3680" ht="14"/>
    <row r="3681" ht="14"/>
    <row r="3682" ht="14"/>
    <row r="3683" ht="14"/>
    <row r="3684" ht="14"/>
    <row r="3685" ht="14"/>
    <row r="3686" ht="14"/>
    <row r="3687" ht="14"/>
    <row r="3688" ht="14"/>
    <row r="3689" ht="14"/>
    <row r="3690" ht="14"/>
    <row r="3691" ht="14"/>
    <row r="3692" ht="14"/>
    <row r="3693" ht="14"/>
    <row r="3694" ht="14"/>
    <row r="3695" ht="14"/>
    <row r="3696" ht="14"/>
    <row r="3697" ht="14"/>
    <row r="3698" ht="14"/>
    <row r="3699" ht="14"/>
    <row r="3700" ht="14"/>
    <row r="3701" ht="14"/>
    <row r="3702" ht="14"/>
    <row r="3703" ht="14"/>
    <row r="3704" ht="14"/>
    <row r="3705" ht="14"/>
    <row r="3706" ht="14"/>
    <row r="3707" ht="14"/>
    <row r="3708" ht="14"/>
    <row r="3709" ht="14"/>
    <row r="3710" ht="14"/>
    <row r="3711" ht="14"/>
    <row r="3712" ht="14"/>
    <row r="3713" ht="14"/>
    <row r="3714" ht="14"/>
    <row r="3715" ht="14"/>
    <row r="3716" ht="14"/>
    <row r="3717" ht="14"/>
    <row r="3718" ht="14"/>
    <row r="3719" ht="14"/>
    <row r="3720" ht="14"/>
    <row r="3721" ht="14"/>
    <row r="3722" ht="14"/>
    <row r="3723" ht="14"/>
    <row r="3724" ht="14"/>
    <row r="3725" ht="14"/>
    <row r="3726" ht="14"/>
    <row r="3727" ht="14"/>
    <row r="3728" ht="14"/>
    <row r="3729" ht="14"/>
    <row r="3730" ht="14"/>
    <row r="3731" ht="14"/>
    <row r="3732" ht="14"/>
    <row r="3733" ht="14"/>
    <row r="3734" ht="14"/>
    <row r="3735" ht="14"/>
    <row r="3736" ht="14"/>
    <row r="3737" ht="14"/>
    <row r="3738" ht="14"/>
    <row r="3739" ht="14"/>
    <row r="3740" ht="14"/>
    <row r="3741" ht="14"/>
    <row r="3742" ht="14"/>
    <row r="3743" ht="14"/>
    <row r="3744" ht="14"/>
    <row r="3745" ht="14"/>
    <row r="3746" ht="14"/>
    <row r="3747" ht="14"/>
    <row r="3748" ht="14"/>
    <row r="3749" ht="14"/>
    <row r="3750" ht="14"/>
    <row r="3751" ht="14"/>
    <row r="3752" ht="14"/>
    <row r="3753" ht="14"/>
    <row r="3754" ht="14"/>
    <row r="3755" ht="14"/>
    <row r="3756" ht="14"/>
    <row r="3757" ht="14"/>
    <row r="3758" ht="14"/>
    <row r="3759" ht="14"/>
    <row r="3760" ht="14"/>
    <row r="3761" ht="14"/>
    <row r="3762" ht="14"/>
    <row r="3763" ht="14"/>
    <row r="3764" ht="14"/>
    <row r="3765" ht="14"/>
    <row r="3766" ht="14"/>
    <row r="3767" ht="14"/>
    <row r="3768" ht="14"/>
    <row r="3769" ht="14"/>
    <row r="3770" ht="14"/>
    <row r="3771" ht="14"/>
    <row r="3772" ht="14"/>
    <row r="3773" ht="14"/>
    <row r="3774" ht="14"/>
    <row r="3775" ht="14"/>
    <row r="3776" ht="14"/>
    <row r="3777" ht="14"/>
    <row r="3778" ht="14"/>
    <row r="3779" ht="14"/>
    <row r="3780" ht="14"/>
    <row r="3781" ht="14"/>
    <row r="3782" ht="14"/>
    <row r="3783" ht="14"/>
    <row r="3784" ht="14"/>
    <row r="3785" ht="14"/>
    <row r="3786" ht="14"/>
    <row r="3787" ht="14"/>
    <row r="3788" ht="14"/>
    <row r="3789" ht="14"/>
    <row r="3790" ht="14"/>
    <row r="3791" ht="14"/>
    <row r="3792" ht="14"/>
    <row r="3793" ht="14"/>
    <row r="3794" ht="14"/>
    <row r="3795" ht="14"/>
    <row r="3796" ht="14"/>
    <row r="3797" ht="14"/>
    <row r="3798" ht="14"/>
    <row r="3799" ht="14"/>
    <row r="3800" ht="14"/>
    <row r="3801" ht="14"/>
    <row r="3802" ht="14"/>
    <row r="3803" ht="14"/>
    <row r="3804" ht="14"/>
    <row r="3805" ht="14"/>
    <row r="3806" ht="14"/>
    <row r="3807" ht="14"/>
    <row r="3808" ht="14"/>
    <row r="3809" ht="14"/>
    <row r="3810" ht="14"/>
    <row r="3811" ht="14"/>
    <row r="3812" ht="14"/>
    <row r="3813" ht="14"/>
    <row r="3814" ht="14"/>
    <row r="3815" ht="14"/>
    <row r="3816" ht="14"/>
    <row r="3817" ht="14"/>
    <row r="3818" ht="14"/>
    <row r="3819" ht="14"/>
    <row r="3820" ht="14"/>
    <row r="3821" ht="14"/>
    <row r="3822" ht="14"/>
    <row r="3823" ht="14"/>
    <row r="3824" ht="14"/>
    <row r="3825" ht="14"/>
    <row r="3826" ht="14"/>
    <row r="3827" ht="14"/>
    <row r="3828" ht="14"/>
    <row r="3829" ht="14"/>
    <row r="3830" ht="14"/>
    <row r="3831" ht="14"/>
    <row r="3832" ht="14"/>
    <row r="3833" ht="14"/>
    <row r="3834" ht="14"/>
    <row r="3835" ht="14"/>
    <row r="3836" ht="14"/>
    <row r="3837" ht="14"/>
    <row r="3838" ht="14"/>
    <row r="3839" ht="14"/>
    <row r="3840" ht="14"/>
    <row r="3841" ht="14"/>
    <row r="3842" ht="14"/>
    <row r="3843" ht="14"/>
    <row r="3844" ht="14"/>
    <row r="3845" ht="14"/>
    <row r="3846" ht="14"/>
    <row r="3847" ht="14"/>
    <row r="3848" ht="14"/>
    <row r="3849" ht="14"/>
    <row r="3850" ht="14"/>
    <row r="3851" ht="14"/>
    <row r="3852" ht="14"/>
    <row r="3853" ht="14"/>
    <row r="3854" ht="14"/>
    <row r="3855" ht="14"/>
    <row r="3856" ht="14"/>
    <row r="3857" ht="14"/>
    <row r="3858" ht="14"/>
    <row r="3859" ht="14"/>
    <row r="3860" ht="14"/>
    <row r="3861" ht="14"/>
    <row r="3862" ht="14"/>
    <row r="3863" ht="14"/>
    <row r="3864" ht="14"/>
    <row r="3865" ht="14"/>
    <row r="3866" ht="14"/>
    <row r="3867" ht="14"/>
    <row r="3868" ht="14"/>
    <row r="3869" ht="14"/>
    <row r="3870" ht="14"/>
    <row r="3871" ht="14"/>
    <row r="3872" ht="14"/>
    <row r="3873" ht="14"/>
    <row r="3874" ht="14"/>
    <row r="3875" ht="14"/>
    <row r="3876" ht="14"/>
    <row r="3877" ht="14"/>
    <row r="3878" ht="14"/>
    <row r="3879" ht="14"/>
    <row r="3880" ht="14"/>
    <row r="3881" ht="14"/>
    <row r="3882" ht="14"/>
    <row r="3883" ht="14"/>
    <row r="3884" ht="14"/>
    <row r="3885" ht="14"/>
    <row r="3886" ht="14"/>
    <row r="3887" ht="14"/>
    <row r="3888" ht="14"/>
    <row r="3889" ht="14"/>
    <row r="3890" ht="14"/>
    <row r="3891" ht="14"/>
    <row r="3892" ht="14"/>
    <row r="3893" ht="14"/>
    <row r="3894" ht="14"/>
    <row r="3895" ht="14"/>
    <row r="3896" ht="14"/>
    <row r="3897" ht="14"/>
    <row r="3898" ht="14"/>
    <row r="3899" ht="14"/>
    <row r="3900" ht="14"/>
    <row r="3901" ht="14"/>
    <row r="3902" ht="14"/>
    <row r="3903" ht="14"/>
    <row r="3904" ht="14"/>
    <row r="3905" ht="14"/>
    <row r="3906" ht="14"/>
    <row r="3907" ht="14"/>
    <row r="3908" ht="14"/>
    <row r="3909" ht="14"/>
    <row r="3910" ht="14"/>
    <row r="3911" ht="14"/>
    <row r="3912" ht="14"/>
    <row r="3913" ht="14"/>
    <row r="3914" ht="14"/>
    <row r="3915" ht="14"/>
    <row r="3916" ht="14"/>
    <row r="3917" ht="14"/>
    <row r="3918" ht="14"/>
    <row r="3919" ht="14"/>
    <row r="3920" ht="14"/>
    <row r="3921" ht="14"/>
    <row r="3922" ht="14"/>
    <row r="3923" ht="14"/>
    <row r="3924" ht="14"/>
    <row r="3925" ht="14"/>
    <row r="3926" ht="14"/>
    <row r="3927" ht="14"/>
    <row r="3928" ht="14"/>
    <row r="3929" ht="14"/>
    <row r="3930" ht="14"/>
    <row r="3931" ht="14"/>
    <row r="3932" ht="14"/>
    <row r="3933" ht="14"/>
    <row r="3934" ht="14"/>
    <row r="3935" ht="14"/>
    <row r="3936" ht="14"/>
    <row r="3937" ht="14"/>
    <row r="3938" ht="14"/>
    <row r="3939" ht="14"/>
    <row r="3940" ht="14"/>
    <row r="3941" ht="14"/>
    <row r="3942" ht="14"/>
    <row r="3943" ht="14"/>
    <row r="3944" ht="14"/>
    <row r="3945" ht="14"/>
    <row r="3946" ht="14"/>
    <row r="3947" ht="14"/>
    <row r="3948" ht="14"/>
    <row r="3949" ht="14"/>
    <row r="3950" ht="14"/>
    <row r="3951" ht="14"/>
    <row r="3952" ht="14"/>
    <row r="3953" ht="14"/>
    <row r="3954" ht="14"/>
    <row r="3955" ht="14"/>
    <row r="3956" ht="14"/>
    <row r="3957" ht="14"/>
    <row r="3958" ht="14"/>
    <row r="3959" ht="14"/>
    <row r="3960" ht="14"/>
    <row r="3961" ht="14"/>
    <row r="3962" ht="14"/>
    <row r="3963" ht="14"/>
    <row r="3964" ht="14"/>
    <row r="3965" ht="14"/>
    <row r="3966" ht="14"/>
    <row r="3967" ht="14"/>
    <row r="3968" ht="14"/>
    <row r="3969" ht="14"/>
    <row r="3970" ht="14"/>
    <row r="3971" ht="14"/>
    <row r="3972" ht="14"/>
    <row r="3973" ht="14"/>
    <row r="3974" ht="14"/>
    <row r="3975" ht="14"/>
    <row r="3976" ht="14"/>
    <row r="3977" ht="14"/>
    <row r="3978" ht="14"/>
    <row r="3979" ht="14"/>
    <row r="3980" ht="14"/>
    <row r="3981" ht="14"/>
    <row r="3982" ht="14"/>
    <row r="3983" ht="14"/>
    <row r="3984" ht="14"/>
    <row r="3985" ht="14"/>
    <row r="3986" ht="14"/>
    <row r="3987" ht="14"/>
    <row r="3988" ht="14"/>
    <row r="3989" ht="14"/>
    <row r="3990" ht="14"/>
    <row r="3991" ht="14"/>
    <row r="3992" ht="14"/>
    <row r="3993" ht="14"/>
    <row r="3994" ht="14"/>
    <row r="3995" ht="14"/>
    <row r="3996" ht="14"/>
    <row r="3997" ht="14"/>
    <row r="3998" ht="14"/>
    <row r="3999" ht="14"/>
    <row r="4000" ht="14"/>
    <row r="4001" ht="14"/>
    <row r="4002" ht="14"/>
    <row r="4003" ht="14"/>
    <row r="4004" ht="14"/>
    <row r="4005" ht="14"/>
    <row r="4006" ht="14"/>
    <row r="4007" ht="14"/>
    <row r="4008" ht="14"/>
    <row r="4009" ht="14"/>
    <row r="4010" ht="14"/>
    <row r="4011" ht="14"/>
    <row r="4012" ht="14"/>
    <row r="4013" ht="14"/>
    <row r="4014" ht="14"/>
    <row r="4015" ht="14"/>
    <row r="4016" ht="14"/>
    <row r="4017" ht="14"/>
    <row r="4018" ht="14"/>
    <row r="4019" ht="14"/>
    <row r="4020" ht="14"/>
    <row r="4021" ht="14"/>
    <row r="4022" ht="14"/>
    <row r="4023" ht="14"/>
    <row r="4024" ht="14"/>
    <row r="4025" ht="14"/>
    <row r="4026" ht="14"/>
    <row r="4027" ht="14"/>
    <row r="4028" ht="14"/>
    <row r="4029" ht="14"/>
    <row r="4030" ht="14"/>
    <row r="4031" ht="14"/>
    <row r="4032" ht="14"/>
    <row r="4033" ht="14"/>
    <row r="4034" ht="14"/>
    <row r="4035" ht="14"/>
    <row r="4036" ht="14"/>
    <row r="4037" ht="14"/>
    <row r="4038" ht="14"/>
    <row r="4039" ht="14"/>
    <row r="4040" ht="14"/>
    <row r="4041" ht="14"/>
    <row r="4042" ht="14"/>
    <row r="4043" ht="14"/>
    <row r="4044" ht="14"/>
    <row r="4045" ht="14"/>
    <row r="4046" ht="14"/>
    <row r="4047" ht="14"/>
    <row r="4048" ht="14"/>
    <row r="4049" ht="14"/>
    <row r="4050" ht="14"/>
    <row r="4051" ht="14"/>
    <row r="4052" ht="14"/>
    <row r="4053" ht="14"/>
    <row r="4054" ht="14"/>
    <row r="4055" ht="14"/>
    <row r="4056" ht="14"/>
    <row r="4057" ht="14"/>
    <row r="4058" ht="14"/>
    <row r="4059" ht="14"/>
    <row r="4060" ht="14"/>
    <row r="4061" ht="14"/>
    <row r="4062" ht="14"/>
    <row r="4063" ht="14"/>
    <row r="4064" ht="14"/>
    <row r="4065" ht="14"/>
    <row r="4066" ht="14"/>
    <row r="4067" ht="14"/>
    <row r="4068" ht="14"/>
    <row r="4069" ht="14"/>
    <row r="4070" ht="14"/>
    <row r="4071" ht="14"/>
    <row r="4072" ht="14"/>
    <row r="4073" ht="14"/>
    <row r="4074" ht="14"/>
    <row r="4075" ht="14"/>
    <row r="4076" ht="14"/>
    <row r="4077" ht="14"/>
    <row r="4078" ht="14"/>
    <row r="4079" ht="14"/>
    <row r="4080" ht="14"/>
    <row r="4081" ht="14"/>
    <row r="4082" ht="14"/>
    <row r="4083" ht="14"/>
    <row r="4084" ht="14"/>
    <row r="4085" ht="14"/>
    <row r="4086" ht="14"/>
    <row r="4087" ht="14"/>
    <row r="4088" ht="14"/>
    <row r="4089" ht="14"/>
    <row r="4090" ht="14"/>
    <row r="4091" ht="14"/>
    <row r="4092" ht="14"/>
    <row r="4093" ht="14"/>
    <row r="4094" ht="14"/>
    <row r="4095" ht="14"/>
    <row r="4096" ht="14"/>
    <row r="4097" ht="14"/>
    <row r="4098" ht="14"/>
    <row r="4099" ht="14"/>
    <row r="4100" ht="14"/>
    <row r="4101" ht="14"/>
    <row r="4102" ht="14"/>
    <row r="4103" ht="14"/>
    <row r="4104" ht="14"/>
    <row r="4105" ht="14"/>
    <row r="4106" ht="14"/>
    <row r="4107" ht="14"/>
    <row r="4108" ht="14"/>
    <row r="4109" ht="14"/>
    <row r="4110" ht="14"/>
    <row r="4111" ht="14"/>
    <row r="4112" ht="14"/>
    <row r="4113" ht="14"/>
    <row r="4114" ht="14"/>
    <row r="4115" ht="14"/>
    <row r="4116" ht="14"/>
    <row r="4117" ht="14"/>
    <row r="4118" ht="14"/>
    <row r="4119" ht="14"/>
    <row r="4120" ht="14"/>
    <row r="4121" ht="14"/>
    <row r="4122" ht="14"/>
    <row r="4123" ht="14"/>
    <row r="4124" ht="14"/>
    <row r="4125" ht="14"/>
    <row r="4126" ht="14"/>
    <row r="4127" ht="14"/>
    <row r="4128" ht="14"/>
    <row r="4129" ht="14"/>
    <row r="4130" ht="14"/>
    <row r="4131" ht="14"/>
    <row r="4132" ht="14"/>
    <row r="4133" ht="14"/>
    <row r="4134" ht="14"/>
    <row r="4135" ht="14"/>
    <row r="4136" ht="14"/>
    <row r="4137" ht="14"/>
    <row r="4138" ht="14"/>
    <row r="4139" ht="14"/>
    <row r="4140" ht="14"/>
    <row r="4141" ht="14"/>
    <row r="4142" ht="14"/>
    <row r="4143" ht="14"/>
    <row r="4144" ht="14"/>
    <row r="4145" ht="14"/>
    <row r="4146" ht="14"/>
    <row r="4147" ht="14"/>
    <row r="4148" ht="14"/>
    <row r="4149" ht="14"/>
    <row r="4150" ht="14"/>
    <row r="4151" ht="14"/>
    <row r="4152" ht="14"/>
    <row r="4153" ht="14"/>
    <row r="4154" ht="14"/>
    <row r="4155" ht="14"/>
    <row r="4156" ht="14"/>
    <row r="4157" ht="14"/>
    <row r="4158" ht="14"/>
    <row r="4159" ht="14"/>
    <row r="4160" ht="14"/>
    <row r="4161" ht="14"/>
    <row r="4162" ht="14"/>
    <row r="4163" ht="14"/>
    <row r="4164" ht="14"/>
    <row r="4165" ht="14"/>
    <row r="4166" ht="14"/>
    <row r="4167" ht="14"/>
    <row r="4168" ht="14"/>
    <row r="4169" ht="14"/>
    <row r="4170" ht="14"/>
    <row r="4171" ht="14"/>
    <row r="4172" ht="14"/>
    <row r="4173" ht="14"/>
    <row r="4174" ht="14"/>
    <row r="4175" ht="14"/>
    <row r="4176" ht="14"/>
    <row r="4177" ht="14"/>
    <row r="4178" ht="14"/>
    <row r="4179" ht="14"/>
    <row r="4180" ht="14"/>
    <row r="4181" ht="14"/>
    <row r="4182" ht="14"/>
    <row r="4183" ht="14"/>
    <row r="4184" ht="14"/>
    <row r="4185" ht="14"/>
    <row r="4186" ht="14"/>
    <row r="4187" ht="14"/>
    <row r="4188" ht="14"/>
    <row r="4189" ht="14"/>
    <row r="4190" ht="14"/>
    <row r="4191" ht="14"/>
    <row r="4192" ht="14"/>
    <row r="4193" ht="14"/>
    <row r="4194" ht="14"/>
    <row r="4195" ht="14"/>
    <row r="4196" ht="14"/>
    <row r="4197" ht="14"/>
    <row r="4198" ht="14"/>
    <row r="4199" ht="14"/>
    <row r="4200" ht="14"/>
    <row r="4201" ht="14"/>
    <row r="4202" ht="14"/>
    <row r="4203" ht="14"/>
    <row r="4204" ht="14"/>
    <row r="4205" ht="14"/>
    <row r="4206" ht="14"/>
    <row r="4207" ht="14"/>
    <row r="4208" ht="14"/>
    <row r="4209" ht="14"/>
    <row r="4210" ht="14"/>
    <row r="4211" ht="14"/>
    <row r="4212" ht="14"/>
    <row r="4213" ht="14"/>
    <row r="4214" ht="14"/>
    <row r="4215" ht="14"/>
    <row r="4216" ht="14"/>
    <row r="4217" ht="14"/>
    <row r="4218" ht="14"/>
    <row r="4219" ht="14"/>
    <row r="4220" ht="14"/>
    <row r="4221" ht="14"/>
    <row r="4222" ht="14"/>
    <row r="4223" ht="14"/>
    <row r="4224" ht="14"/>
    <row r="4225" ht="14"/>
    <row r="4226" ht="14"/>
    <row r="4227" ht="14"/>
    <row r="4228" ht="14"/>
    <row r="4229" ht="14"/>
    <row r="4230" ht="14"/>
    <row r="4231" ht="14"/>
    <row r="4232" ht="14"/>
    <row r="4233" ht="14"/>
    <row r="4234" ht="14"/>
    <row r="4235" ht="14"/>
    <row r="4236" ht="14"/>
    <row r="4237" ht="14"/>
    <row r="4238" ht="14"/>
    <row r="4239" ht="14"/>
    <row r="4240" ht="14"/>
    <row r="4241" ht="14"/>
    <row r="4242" ht="14"/>
    <row r="4243" ht="14"/>
    <row r="4244" ht="14"/>
    <row r="4245" ht="14"/>
    <row r="4246" ht="14"/>
    <row r="4247" ht="14"/>
    <row r="4248" ht="14"/>
    <row r="4249" ht="14"/>
    <row r="4250" ht="14"/>
    <row r="4251" ht="14"/>
    <row r="4252" ht="14"/>
    <row r="4253" ht="14"/>
    <row r="4254" ht="14"/>
    <row r="4255" ht="14"/>
    <row r="4256" ht="14"/>
    <row r="4257" ht="14"/>
    <row r="4258" ht="14"/>
    <row r="4259" ht="14"/>
    <row r="4260" ht="14"/>
    <row r="4261" ht="14"/>
    <row r="4262" ht="14"/>
    <row r="4263" ht="14"/>
    <row r="4264" ht="14"/>
    <row r="4265" ht="14"/>
    <row r="4266" ht="14"/>
    <row r="4267" ht="14"/>
    <row r="4268" ht="14"/>
    <row r="4269" ht="14"/>
    <row r="4270" ht="14"/>
    <row r="4271" ht="14"/>
    <row r="4272" ht="14"/>
    <row r="4273" ht="14"/>
    <row r="4274" ht="14"/>
    <row r="4275" ht="14"/>
    <row r="4276" ht="14"/>
    <row r="4277" ht="14"/>
    <row r="4278" ht="14"/>
    <row r="4279" ht="14"/>
    <row r="4280" ht="14"/>
    <row r="4281" ht="14"/>
    <row r="4282" ht="14"/>
    <row r="4283" ht="14"/>
    <row r="4284" ht="14"/>
    <row r="4285" ht="14"/>
    <row r="4286" ht="14"/>
    <row r="4287" ht="14"/>
    <row r="4288" ht="14"/>
    <row r="4289" ht="14"/>
    <row r="4290" ht="14"/>
    <row r="4291" ht="14"/>
    <row r="4292" ht="14"/>
    <row r="4293" ht="14"/>
    <row r="4294" ht="14"/>
    <row r="4295" ht="14"/>
    <row r="4296" ht="14"/>
    <row r="4297" ht="14"/>
    <row r="4298" ht="14"/>
    <row r="4299" ht="14"/>
    <row r="4300" ht="14"/>
    <row r="4301" ht="14"/>
    <row r="4302" ht="14"/>
    <row r="4303" ht="14"/>
    <row r="4304" ht="14"/>
    <row r="4305" ht="14"/>
    <row r="4306" ht="14"/>
    <row r="4307" ht="14"/>
    <row r="4308" ht="14"/>
    <row r="4309" ht="14"/>
    <row r="4310" ht="14"/>
    <row r="4311" ht="14"/>
    <row r="4312" ht="14"/>
    <row r="4313" ht="14"/>
    <row r="4314" ht="14"/>
    <row r="4315" ht="14"/>
    <row r="4316" ht="14"/>
    <row r="4317" ht="14"/>
    <row r="4318" ht="14"/>
    <row r="4319" ht="14"/>
    <row r="4320" ht="14"/>
    <row r="4321" ht="14"/>
    <row r="4322" ht="14"/>
    <row r="4323" ht="14"/>
    <row r="4324" ht="14"/>
    <row r="4325" ht="14"/>
    <row r="4326" ht="14"/>
    <row r="4327" ht="14"/>
    <row r="4328" ht="14"/>
    <row r="4329" ht="14"/>
    <row r="4330" ht="14"/>
    <row r="4331" ht="14"/>
    <row r="4332" ht="14"/>
    <row r="4333" ht="14"/>
    <row r="4334" ht="14"/>
    <row r="4335" ht="14"/>
    <row r="4336" ht="14"/>
    <row r="4337" ht="14"/>
    <row r="4338" ht="14"/>
    <row r="4339" ht="14"/>
    <row r="4340" ht="14"/>
    <row r="4341" ht="14"/>
    <row r="4342" ht="14"/>
    <row r="4343" ht="14"/>
    <row r="4344" ht="14"/>
    <row r="4345" ht="14"/>
    <row r="4346" ht="14"/>
    <row r="4347" ht="14"/>
    <row r="4348" ht="14"/>
    <row r="4349" ht="14"/>
    <row r="4350" ht="14"/>
    <row r="4351" ht="14"/>
    <row r="4352" ht="14"/>
    <row r="4353" ht="14"/>
    <row r="4354" ht="14"/>
    <row r="4355" ht="14"/>
    <row r="4356" ht="14"/>
    <row r="4357" ht="14"/>
    <row r="4358" ht="14"/>
    <row r="4359" ht="14"/>
    <row r="4360" ht="14"/>
    <row r="4361" ht="14"/>
    <row r="4362" ht="14"/>
    <row r="4363" ht="14"/>
    <row r="4364" ht="14"/>
    <row r="4365" ht="14"/>
    <row r="4366" ht="14"/>
    <row r="4367" ht="14"/>
    <row r="4368" ht="14"/>
    <row r="4369" ht="14"/>
    <row r="4370" ht="14"/>
    <row r="4371" ht="14"/>
    <row r="4372" ht="14"/>
    <row r="4373" ht="14"/>
    <row r="4374" ht="14"/>
    <row r="4375" ht="14"/>
    <row r="4376" ht="14"/>
    <row r="4377" ht="14"/>
    <row r="4378" ht="14"/>
    <row r="4379" ht="14"/>
    <row r="4380" ht="14"/>
    <row r="4381" ht="14"/>
    <row r="4382" ht="14"/>
    <row r="4383" ht="14"/>
    <row r="4384" ht="14"/>
    <row r="4385" ht="14"/>
    <row r="4386" ht="14"/>
    <row r="4387" ht="14"/>
    <row r="4388" ht="14"/>
    <row r="4389" ht="14"/>
    <row r="4390" ht="14"/>
    <row r="4391" ht="14"/>
    <row r="4392" ht="14"/>
    <row r="4393" ht="14"/>
    <row r="4394" ht="14"/>
    <row r="4395" ht="14"/>
    <row r="4396" ht="14"/>
    <row r="4397" ht="14"/>
    <row r="4398" ht="14"/>
    <row r="4399" ht="14"/>
    <row r="4400" ht="14"/>
    <row r="4401" ht="14"/>
    <row r="4402" ht="14"/>
    <row r="4403" ht="14"/>
    <row r="4404" ht="14"/>
    <row r="4405" ht="14"/>
    <row r="4406" ht="14"/>
    <row r="4407" ht="14"/>
    <row r="4408" ht="14"/>
    <row r="4409" ht="14"/>
    <row r="4410" ht="14"/>
    <row r="4411" ht="14"/>
    <row r="4412" ht="14"/>
    <row r="4413" ht="14"/>
    <row r="4414" ht="14"/>
    <row r="4415" ht="14"/>
    <row r="4416" ht="14"/>
    <row r="4417" ht="14"/>
    <row r="4418" ht="14"/>
    <row r="4419" ht="14"/>
    <row r="4420" ht="14"/>
    <row r="4421" ht="14"/>
    <row r="4422" ht="14"/>
    <row r="4423" ht="14"/>
    <row r="4424" ht="14"/>
    <row r="4425" ht="14"/>
    <row r="4426" ht="14"/>
    <row r="4427" ht="14"/>
    <row r="4428" ht="14"/>
    <row r="4429" ht="14"/>
    <row r="4430" ht="14"/>
    <row r="4431" ht="14"/>
    <row r="4432" ht="14"/>
    <row r="4433" ht="14"/>
    <row r="4434" ht="14"/>
    <row r="4435" ht="14"/>
    <row r="4436" ht="14"/>
    <row r="4437" ht="14"/>
    <row r="4438" ht="14"/>
    <row r="4439" ht="14"/>
    <row r="4440" ht="14"/>
    <row r="4441" ht="14"/>
    <row r="4442" ht="14"/>
    <row r="4443" ht="14"/>
    <row r="4444" ht="14"/>
    <row r="4445" ht="14"/>
    <row r="4446" ht="14"/>
    <row r="4447" ht="14"/>
    <row r="4448" ht="14"/>
    <row r="4449" ht="14"/>
    <row r="4450" ht="14"/>
    <row r="4451" ht="14"/>
    <row r="4452" ht="14"/>
    <row r="4453" ht="14"/>
    <row r="4454" ht="14"/>
    <row r="4455" ht="14"/>
    <row r="4456" ht="14"/>
    <row r="4457" ht="14"/>
    <row r="4458" ht="14"/>
    <row r="4459" ht="14"/>
    <row r="4460" ht="14"/>
    <row r="4461" ht="14"/>
    <row r="4462" ht="14"/>
    <row r="4463" ht="14"/>
    <row r="4464" ht="14"/>
    <row r="4465" ht="14"/>
    <row r="4466" ht="14"/>
    <row r="4467" ht="14"/>
    <row r="4468" ht="14"/>
    <row r="4469" ht="14"/>
    <row r="4470" ht="14"/>
    <row r="4471" ht="14"/>
    <row r="4472" ht="14"/>
    <row r="4473" ht="14"/>
    <row r="4474" ht="14"/>
    <row r="4475" ht="14"/>
    <row r="4476" ht="14"/>
    <row r="4477" ht="14"/>
    <row r="4478" ht="14"/>
    <row r="4479" ht="14"/>
    <row r="4480" ht="14"/>
    <row r="4481" ht="14"/>
    <row r="4482" ht="14"/>
    <row r="4483" ht="14"/>
    <row r="4484" ht="14"/>
    <row r="4485" ht="14"/>
    <row r="4486" ht="14"/>
    <row r="4487" ht="14"/>
    <row r="4488" ht="14"/>
    <row r="4489" ht="14"/>
    <row r="4490" ht="14"/>
    <row r="4491" ht="14"/>
    <row r="4492" ht="14"/>
    <row r="4493" ht="14"/>
    <row r="4494" ht="14"/>
    <row r="4495" ht="14"/>
    <row r="4496" ht="14"/>
    <row r="4497" ht="14"/>
    <row r="4498" ht="14"/>
    <row r="4499" ht="14"/>
    <row r="4500" ht="14"/>
    <row r="4501" ht="14"/>
    <row r="4502" ht="14"/>
    <row r="4503" ht="14"/>
    <row r="4504" ht="14"/>
    <row r="4505" ht="14"/>
    <row r="4506" ht="14"/>
    <row r="4507" ht="14"/>
    <row r="4508" ht="14"/>
    <row r="4509" ht="14"/>
    <row r="4510" ht="14"/>
    <row r="4511" ht="14"/>
    <row r="4512" ht="14"/>
    <row r="4513" ht="14"/>
    <row r="4514" ht="14"/>
    <row r="4515" ht="14"/>
    <row r="4516" ht="14"/>
    <row r="4517" ht="14"/>
    <row r="4518" ht="14"/>
    <row r="4519" ht="14"/>
    <row r="4520" ht="14"/>
    <row r="4521" ht="14"/>
    <row r="4522" ht="14"/>
    <row r="4523" ht="14"/>
    <row r="4524" ht="14"/>
    <row r="4525" ht="14"/>
    <row r="4526" ht="14"/>
    <row r="4527" ht="14"/>
    <row r="4528" ht="14"/>
    <row r="4529" ht="14"/>
    <row r="4530" ht="14"/>
    <row r="4531" ht="14"/>
    <row r="4532" ht="14"/>
    <row r="4533" ht="14"/>
    <row r="4534" ht="14"/>
    <row r="4535" ht="14"/>
    <row r="4536" ht="14"/>
    <row r="4537" ht="14"/>
    <row r="4538" ht="14"/>
    <row r="4539" ht="14"/>
    <row r="4540" ht="14"/>
    <row r="4541" ht="14"/>
    <row r="4542" ht="14"/>
    <row r="4543" ht="14"/>
    <row r="4544" ht="14"/>
    <row r="4545" ht="14"/>
    <row r="4546" ht="14"/>
    <row r="4547" ht="14"/>
    <row r="4548" ht="14"/>
    <row r="4549" ht="14"/>
    <row r="4550" ht="14"/>
    <row r="4551" ht="14"/>
    <row r="4552" ht="14"/>
    <row r="4553" ht="14"/>
    <row r="4554" ht="14"/>
    <row r="4555" ht="14"/>
    <row r="4556" ht="14"/>
    <row r="4557" ht="14"/>
    <row r="4558" ht="14"/>
    <row r="4559" ht="14"/>
    <row r="4560" ht="14"/>
    <row r="4561" ht="14"/>
    <row r="4562" ht="14"/>
    <row r="4563" ht="14"/>
    <row r="4564" ht="14"/>
    <row r="4565" ht="14"/>
    <row r="4566" ht="14"/>
    <row r="4567" ht="14"/>
    <row r="4568" ht="14"/>
    <row r="4569" ht="14"/>
    <row r="4570" ht="14"/>
    <row r="4571" ht="14"/>
    <row r="4572" ht="14"/>
    <row r="4573" ht="14"/>
    <row r="4574" ht="14"/>
    <row r="4575" ht="14"/>
    <row r="4576" ht="14"/>
    <row r="4577" ht="14"/>
    <row r="4578" ht="14"/>
    <row r="4579" ht="14"/>
    <row r="4580" ht="14"/>
    <row r="4581" ht="14"/>
    <row r="4582" ht="14"/>
    <row r="4583" ht="14"/>
    <row r="4584" ht="14"/>
    <row r="4585" ht="14"/>
    <row r="4586" ht="14"/>
    <row r="4587" ht="14"/>
    <row r="4588" ht="14"/>
    <row r="4589" ht="14"/>
    <row r="4590" ht="14"/>
    <row r="4591" ht="14"/>
    <row r="4592" ht="14"/>
    <row r="4593" ht="14"/>
    <row r="4594" ht="14"/>
    <row r="4595" ht="14"/>
    <row r="4596" ht="14"/>
    <row r="4597" ht="14"/>
    <row r="4598" ht="14"/>
    <row r="4599" ht="14"/>
    <row r="4600" ht="14"/>
    <row r="4601" ht="14"/>
    <row r="4602" ht="14"/>
    <row r="4603" ht="14"/>
    <row r="4604" ht="14"/>
    <row r="4605" ht="14"/>
    <row r="4606" ht="14"/>
    <row r="4607" ht="14"/>
    <row r="4608" ht="14"/>
    <row r="4609" ht="14"/>
    <row r="4610" ht="14"/>
    <row r="4611" ht="14"/>
    <row r="4612" ht="14"/>
    <row r="4613" ht="14"/>
    <row r="4614" ht="14"/>
    <row r="4615" ht="14"/>
    <row r="4616" ht="14"/>
    <row r="4617" ht="14"/>
    <row r="4618" ht="14"/>
    <row r="4619" ht="14"/>
    <row r="4620" ht="14"/>
    <row r="4621" ht="14"/>
    <row r="4622" ht="14"/>
    <row r="4623" ht="14"/>
    <row r="4624" ht="14"/>
    <row r="4625" ht="14"/>
    <row r="4626" ht="14"/>
    <row r="4627" ht="14"/>
    <row r="4628" ht="14"/>
    <row r="4629" ht="14"/>
    <row r="4630" ht="14"/>
    <row r="4631" ht="14"/>
    <row r="4632" ht="14"/>
    <row r="4633" ht="14"/>
    <row r="4634" ht="14"/>
    <row r="4635" ht="14"/>
    <row r="4636" ht="14"/>
    <row r="4637" ht="14"/>
    <row r="4638" ht="14"/>
    <row r="4639" ht="14"/>
    <row r="4640" ht="14"/>
    <row r="4641" ht="14"/>
    <row r="4642" ht="14"/>
    <row r="4643" ht="14"/>
    <row r="4644" ht="14"/>
    <row r="4645" ht="14"/>
    <row r="4646" ht="14"/>
    <row r="4647" ht="14"/>
    <row r="4648" ht="14"/>
    <row r="4649" ht="14"/>
    <row r="4650" ht="14"/>
    <row r="4651" ht="14"/>
    <row r="4652" ht="14"/>
    <row r="4653" ht="14"/>
    <row r="4654" ht="14"/>
    <row r="4655" ht="14"/>
    <row r="4656" ht="14"/>
    <row r="4657" ht="14"/>
    <row r="4658" ht="14"/>
    <row r="4659" ht="14"/>
    <row r="4660" ht="14"/>
    <row r="4661" ht="14"/>
    <row r="4662" ht="14"/>
    <row r="4663" ht="14"/>
    <row r="4664" ht="14"/>
    <row r="4665" ht="14"/>
    <row r="4666" ht="14"/>
    <row r="4667" ht="14"/>
    <row r="4668" ht="14"/>
    <row r="4669" ht="14"/>
    <row r="4670" ht="14"/>
    <row r="4671" ht="14"/>
    <row r="4672" ht="14"/>
    <row r="4673" ht="14"/>
    <row r="4674" ht="14"/>
    <row r="4675" ht="14"/>
    <row r="4676" ht="14"/>
    <row r="4677" ht="14"/>
    <row r="4678" ht="14"/>
    <row r="4679" ht="14"/>
    <row r="4680" ht="14"/>
    <row r="4681" ht="14"/>
    <row r="4682" ht="14"/>
    <row r="4683" ht="14"/>
    <row r="4684" ht="14"/>
    <row r="4685" ht="14"/>
    <row r="4686" ht="14"/>
    <row r="4687" ht="14"/>
    <row r="4688" ht="14"/>
    <row r="4689" ht="14"/>
    <row r="4690" ht="14"/>
    <row r="4691" ht="14"/>
    <row r="4692" ht="14"/>
    <row r="4693" ht="14"/>
    <row r="4694" ht="14"/>
    <row r="4695" ht="14"/>
    <row r="4696" ht="14"/>
    <row r="4697" ht="14"/>
    <row r="4698" ht="14"/>
    <row r="4699" ht="14"/>
    <row r="4700" ht="14"/>
    <row r="4701" ht="14"/>
    <row r="4702" ht="14"/>
    <row r="4703" ht="14"/>
    <row r="4704" ht="14"/>
    <row r="4705" ht="14"/>
    <row r="4706" ht="14"/>
    <row r="4707" ht="14"/>
    <row r="4708" ht="14"/>
    <row r="4709" ht="14"/>
    <row r="4710" ht="14"/>
    <row r="4711" ht="14"/>
    <row r="4712" ht="14"/>
    <row r="4713" ht="14"/>
    <row r="4714" ht="14"/>
    <row r="4715" ht="14"/>
    <row r="4716" ht="14"/>
    <row r="4717" ht="14"/>
    <row r="4718" ht="14"/>
    <row r="4719" ht="14"/>
    <row r="4720" ht="14"/>
    <row r="4721" ht="14"/>
    <row r="4722" ht="14"/>
    <row r="4723" ht="14"/>
    <row r="4724" ht="14"/>
    <row r="4725" ht="14"/>
    <row r="4726" ht="14"/>
    <row r="4727" ht="14"/>
    <row r="4728" ht="14"/>
    <row r="4729" ht="14"/>
    <row r="4730" ht="14"/>
    <row r="4731" ht="14"/>
    <row r="4732" ht="14"/>
    <row r="4733" ht="14"/>
    <row r="4734" ht="14"/>
    <row r="4735" ht="14"/>
    <row r="4736" ht="14"/>
    <row r="4737" ht="14"/>
    <row r="4738" ht="14"/>
    <row r="4739" ht="14"/>
    <row r="4740" ht="14"/>
    <row r="4741" ht="14"/>
    <row r="4742" ht="14"/>
    <row r="4743" ht="14"/>
    <row r="4744" ht="14"/>
    <row r="4745" ht="14"/>
    <row r="4746" ht="14"/>
    <row r="4747" ht="14"/>
    <row r="4748" ht="14"/>
    <row r="4749" ht="14"/>
    <row r="4750" ht="14"/>
    <row r="4751" ht="14"/>
    <row r="4752" ht="14"/>
    <row r="4753" ht="14"/>
    <row r="4754" ht="14"/>
    <row r="4755" ht="14"/>
    <row r="4756" ht="14"/>
    <row r="4757" ht="14"/>
    <row r="4758" ht="14"/>
    <row r="4759" ht="14"/>
    <row r="4760" ht="14"/>
    <row r="4761" ht="14"/>
    <row r="4762" ht="14"/>
    <row r="4763" ht="14"/>
    <row r="4764" ht="14"/>
    <row r="4765" ht="14"/>
    <row r="4766" ht="14"/>
    <row r="4767" ht="14"/>
    <row r="4768" ht="14"/>
    <row r="4769" ht="14"/>
    <row r="4770" ht="14"/>
    <row r="4771" ht="14"/>
    <row r="4772" ht="14"/>
    <row r="4773" ht="14"/>
    <row r="4774" ht="14"/>
    <row r="4775" ht="14"/>
    <row r="4776" ht="14"/>
    <row r="4777" ht="14"/>
    <row r="4778" ht="14"/>
    <row r="4779" ht="14"/>
    <row r="4780" ht="14"/>
    <row r="4781" ht="14"/>
    <row r="4782" ht="14"/>
    <row r="4783" ht="14"/>
    <row r="4784" ht="14"/>
    <row r="4785" ht="14"/>
    <row r="4786" ht="14"/>
    <row r="4787" ht="14"/>
    <row r="4788" ht="14"/>
    <row r="4789" ht="14"/>
    <row r="4790" ht="14"/>
    <row r="4791" ht="14"/>
    <row r="4792" ht="14"/>
    <row r="4793" ht="14"/>
    <row r="4794" ht="14"/>
    <row r="4795" ht="14"/>
    <row r="4796" ht="14"/>
    <row r="4797" ht="14"/>
    <row r="4798" ht="14"/>
    <row r="4799" ht="14"/>
    <row r="4800" ht="14"/>
    <row r="4801" ht="14"/>
    <row r="4802" ht="14"/>
    <row r="4803" ht="14"/>
    <row r="4804" ht="14"/>
    <row r="4805" ht="14"/>
    <row r="4806" ht="14"/>
    <row r="4807" ht="14"/>
    <row r="4808" ht="14"/>
    <row r="4809" ht="14"/>
    <row r="4810" ht="14"/>
    <row r="4811" ht="14"/>
    <row r="4812" ht="14"/>
    <row r="4813" ht="14"/>
    <row r="4814" ht="14"/>
    <row r="4815" ht="14"/>
    <row r="4816" ht="14"/>
    <row r="4817" ht="14"/>
    <row r="4818" ht="14"/>
    <row r="4819" ht="14"/>
    <row r="4820" ht="14"/>
    <row r="4821" ht="14"/>
    <row r="4822" ht="14"/>
    <row r="4823" ht="14"/>
    <row r="4824" ht="14"/>
    <row r="4825" ht="14"/>
    <row r="4826" ht="14"/>
    <row r="4827" ht="14"/>
    <row r="4828" ht="14"/>
    <row r="4829" ht="14"/>
    <row r="4830" ht="14"/>
    <row r="4831" ht="14"/>
    <row r="4832" ht="14"/>
    <row r="4833" ht="14"/>
    <row r="4834" ht="14"/>
    <row r="4835" ht="14"/>
    <row r="4836" ht="14"/>
    <row r="4837" ht="14"/>
    <row r="4838" ht="14"/>
    <row r="4839" ht="14"/>
    <row r="4840" ht="14"/>
    <row r="4841" ht="14"/>
    <row r="4842" ht="14"/>
    <row r="4843" ht="14"/>
    <row r="4844" ht="14"/>
    <row r="4845" ht="14"/>
    <row r="4846" ht="14"/>
    <row r="4847" ht="14"/>
    <row r="4848" ht="14"/>
    <row r="4849" ht="14"/>
    <row r="4850" ht="14"/>
    <row r="4851" ht="14"/>
    <row r="4852" ht="14"/>
    <row r="4853" ht="14"/>
    <row r="4854" ht="14"/>
    <row r="4855" ht="14"/>
    <row r="4856" ht="14"/>
    <row r="4857" ht="14"/>
    <row r="4858" ht="14"/>
    <row r="4859" ht="14"/>
    <row r="4860" ht="14"/>
    <row r="4861" ht="14"/>
    <row r="4862" ht="14"/>
    <row r="4863" ht="14"/>
    <row r="4864" ht="14"/>
    <row r="4865" ht="14"/>
    <row r="4866" ht="14"/>
    <row r="4867" ht="14"/>
    <row r="4868" ht="14"/>
    <row r="4869" ht="14"/>
    <row r="4870" ht="14"/>
    <row r="4871" ht="14"/>
    <row r="4872" ht="14"/>
    <row r="4873" ht="14"/>
    <row r="4874" ht="14"/>
    <row r="4875" ht="14"/>
    <row r="4876" ht="14"/>
    <row r="4877" ht="14"/>
    <row r="4878" ht="14"/>
    <row r="4879" ht="14"/>
    <row r="4880" ht="14"/>
    <row r="4881" ht="14"/>
    <row r="4882" ht="14"/>
    <row r="4883" ht="14"/>
    <row r="4884" ht="14"/>
    <row r="4885" ht="14"/>
    <row r="4886" ht="14"/>
    <row r="4887" ht="14"/>
    <row r="4888" ht="14"/>
    <row r="4889" ht="14"/>
    <row r="4890" ht="14"/>
    <row r="4891" ht="14"/>
    <row r="4892" ht="14"/>
    <row r="4893" ht="14"/>
    <row r="4894" ht="14"/>
    <row r="4895" ht="14"/>
    <row r="4896" ht="14"/>
    <row r="4897" ht="14"/>
    <row r="4898" ht="14"/>
    <row r="4899" ht="14"/>
    <row r="4900" ht="14"/>
    <row r="4901" ht="14"/>
    <row r="4902" ht="14"/>
    <row r="4903" ht="14"/>
    <row r="4904" ht="14"/>
    <row r="4905" ht="14"/>
    <row r="4906" ht="14"/>
    <row r="4907" ht="14"/>
    <row r="4908" ht="14"/>
    <row r="4909" ht="14"/>
    <row r="4910" ht="14"/>
    <row r="4911" ht="14"/>
    <row r="4912" ht="14"/>
    <row r="4913" ht="14"/>
    <row r="4914" ht="14"/>
    <row r="4915" ht="14"/>
    <row r="4916" ht="14"/>
    <row r="4917" ht="14"/>
    <row r="4918" ht="14"/>
    <row r="4919" ht="14"/>
    <row r="4920" ht="14"/>
    <row r="4921" ht="14"/>
    <row r="4922" ht="14"/>
    <row r="4923" ht="14"/>
    <row r="4924" ht="14"/>
    <row r="4925" ht="14"/>
    <row r="4926" ht="14"/>
    <row r="4927" ht="14"/>
    <row r="4928" ht="14"/>
    <row r="4929" ht="14"/>
    <row r="4930" ht="14"/>
    <row r="4931" ht="14"/>
    <row r="4932" ht="14"/>
    <row r="4933" ht="14"/>
    <row r="4934" ht="14"/>
    <row r="4935" ht="14"/>
    <row r="4936" ht="14"/>
    <row r="4937" ht="14"/>
    <row r="4938" ht="14"/>
    <row r="4939" ht="14"/>
    <row r="4940" ht="14"/>
    <row r="4941" ht="14"/>
    <row r="4942" ht="14"/>
    <row r="4943" ht="14"/>
    <row r="4944" ht="14"/>
    <row r="4945" ht="14"/>
    <row r="4946" ht="14"/>
    <row r="4947" ht="14"/>
    <row r="4948" ht="14"/>
    <row r="4949" ht="14"/>
    <row r="4950" ht="14"/>
    <row r="4951" ht="14"/>
    <row r="4952" ht="14"/>
    <row r="4953" ht="14"/>
    <row r="4954" ht="14"/>
    <row r="4955" ht="14"/>
    <row r="4956" ht="14"/>
    <row r="4957" ht="14"/>
    <row r="4958" ht="14"/>
    <row r="4959" ht="14"/>
    <row r="4960" ht="14"/>
    <row r="4961" ht="14"/>
    <row r="4962" ht="14"/>
    <row r="4963" ht="14"/>
    <row r="4964" ht="14"/>
    <row r="4965" ht="14"/>
    <row r="4966" ht="14"/>
    <row r="4967" ht="14"/>
    <row r="4968" ht="14"/>
    <row r="4969" ht="14"/>
    <row r="4970" ht="14"/>
    <row r="4971" ht="14"/>
    <row r="4972" ht="14"/>
    <row r="4973" ht="14"/>
    <row r="4974" ht="14"/>
    <row r="4975" ht="14"/>
    <row r="4976" ht="14"/>
    <row r="4977" ht="14"/>
    <row r="4978" ht="14"/>
    <row r="4979" ht="14"/>
    <row r="4980" ht="14"/>
    <row r="4981" ht="14"/>
    <row r="4982" ht="14"/>
    <row r="4983" ht="14"/>
    <row r="4984" ht="14"/>
    <row r="4985" ht="14"/>
    <row r="4986" ht="14"/>
    <row r="4987" ht="14"/>
    <row r="4988" ht="14"/>
    <row r="4989" ht="14"/>
    <row r="4990" ht="14"/>
    <row r="4991" ht="14"/>
    <row r="4992" ht="14"/>
    <row r="4993" ht="14"/>
    <row r="4994" ht="14"/>
    <row r="4995" ht="14"/>
    <row r="4996" ht="14"/>
    <row r="4997" ht="14"/>
    <row r="4998" ht="14"/>
    <row r="4999" ht="14"/>
    <row r="5000" ht="14"/>
    <row r="5001" ht="14"/>
    <row r="5002" ht="14"/>
    <row r="5003" ht="14"/>
    <row r="5004" ht="14"/>
    <row r="5005" ht="14"/>
    <row r="5006" ht="14"/>
    <row r="5007" ht="14"/>
    <row r="5008" ht="14"/>
    <row r="5009" ht="14"/>
    <row r="5010" ht="14"/>
    <row r="5011" ht="14"/>
  </sheetData>
  <autoFilter ref="C1:E5011" xr:uid="{00000000-0009-0000-0000-000016000000}"/>
  <phoneticPr fontId="21" type="noConversion"/>
  <conditionalFormatting sqref="E28">
    <cfRule type="expression" dxfId="1" priority="1">
      <formula>COUNTIFS(E:E,E:E)&gt;1</formula>
    </cfRule>
  </conditionalFormatting>
  <conditionalFormatting sqref="E28:E49">
    <cfRule type="expression" dxfId="0" priority="2">
      <formula>COUNTIFS(E:E,E:E)&gt;1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HT_로컬파트너사</vt:lpstr>
      <vt:lpstr>디지털게시판</vt:lpstr>
      <vt:lpstr>KTskylife</vt:lpstr>
      <vt:lpstr>구글지출</vt:lpstr>
      <vt:lpstr>영업현황의 사본</vt:lpstr>
      <vt:lpstr>상담유무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드림 에이지이</cp:lastModifiedBy>
  <dcterms:created xsi:type="dcterms:W3CDTF">2025-09-02T08:24:56Z</dcterms:created>
  <dcterms:modified xsi:type="dcterms:W3CDTF">2026-06-02T09:02:58Z</dcterms:modified>
</cp:coreProperties>
</file>