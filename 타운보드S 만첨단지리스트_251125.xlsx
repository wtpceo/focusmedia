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0819001\#주식회사 타운보드\로컬\2.만첨 및 구좌관리\배포용\"/>
    </mc:Choice>
  </mc:AlternateContent>
  <xr:revisionPtr revIDLastSave="0" documentId="13_ncr:1_{079B5A2C-2BA1-4B12-9370-27BA0B75A29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만첨리스트" sheetId="1" r:id="rId1"/>
  </sheets>
  <definedNames>
    <definedName name="_xlnm._FilterDatabase" localSheetId="0" hidden="1">만첨리스트!$B$7:$U$363</definedName>
    <definedName name="_xlnm.Print_Area" localSheetId="0">만첨리스트!$A$2:$P$362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3" i="1" l="1"/>
  <c r="J363" i="1"/>
  <c r="N363" i="1" l="1"/>
</calcChain>
</file>

<file path=xl/sharedStrings.xml><?xml version="1.0" encoding="utf-8"?>
<sst xmlns="http://schemas.openxmlformats.org/spreadsheetml/2006/main" count="3306" uniqueCount="1012">
  <si>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</si>
  <si>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</si>
  <si>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</si>
  <si>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</si>
  <si>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</si>
  <si>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</si>
  <si>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</si>
  <si>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</si>
  <si>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</si>
  <si>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</si>
  <si>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</si>
  <si>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</si>
  <si>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</si>
  <si>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</si>
  <si>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</si>
  <si>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</si>
  <si>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</si>
  <si>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</si>
  <si>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</si>
  <si>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</si>
  <si>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행 레이블</t>
  </si>
  <si>
    <t>합계 : 단지수</t>
  </si>
  <si>
    <t>합계 : 가동수량</t>
  </si>
  <si>
    <t>아파트</t>
  </si>
  <si>
    <t>O</t>
  </si>
  <si>
    <t>대구</t>
  </si>
  <si>
    <t>부산</t>
  </si>
  <si>
    <t>주상복합</t>
  </si>
  <si>
    <t>중</t>
  </si>
  <si>
    <t>온라인(유통) : 쿠팡 , 롯데온 , 마켓컬리 , 오아시스 , B마트(배민은 가능)   //   대형마트 : 홈플러스 / 롯데마트 / 메가마트 / GS슈퍼 / 롯데슈퍼 / 홈플러스익스프레스</t>
  </si>
  <si>
    <t>오피스텔</t>
  </si>
  <si>
    <t>충북</t>
  </si>
  <si>
    <t>청주</t>
  </si>
  <si>
    <t>흥덕</t>
  </si>
  <si>
    <t>청주가경아이파크5단지</t>
  </si>
  <si>
    <t>서부</t>
  </si>
  <si>
    <t>33,39,45</t>
  </si>
  <si>
    <t>총합계</t>
  </si>
  <si>
    <t>수성</t>
  </si>
  <si>
    <t>범어</t>
  </si>
  <si>
    <t>신매</t>
  </si>
  <si>
    <t>수성3가롯데캐슬</t>
  </si>
  <si>
    <t>수성동3가</t>
  </si>
  <si>
    <t>38,46,49,50,58,65,74</t>
  </si>
  <si>
    <t>대구범어노르웨이숲</t>
  </si>
  <si>
    <t>34~101</t>
  </si>
  <si>
    <t>이안센트럴D</t>
  </si>
  <si>
    <t>동</t>
  </si>
  <si>
    <t>신암</t>
  </si>
  <si>
    <t>부산더샵센텀파크2차</t>
  </si>
  <si>
    <t>해운대</t>
  </si>
  <si>
    <t>재송</t>
  </si>
  <si>
    <t>재송제1</t>
  </si>
  <si>
    <t>35~51</t>
  </si>
  <si>
    <t>대구메트로팔레스3</t>
  </si>
  <si>
    <t>만촌</t>
  </si>
  <si>
    <t>만촌1</t>
  </si>
  <si>
    <t>북</t>
  </si>
  <si>
    <t>고산1</t>
  </si>
  <si>
    <t>대구오페라코오롱</t>
  </si>
  <si>
    <t>칠성2가</t>
  </si>
  <si>
    <t>칠성</t>
  </si>
  <si>
    <t>남산</t>
  </si>
  <si>
    <t>-</t>
  </si>
  <si>
    <t>극동스타클래스남산</t>
  </si>
  <si>
    <t>청라힐스자이</t>
  </si>
  <si>
    <t>대구청운맨션</t>
  </si>
  <si>
    <t>대봉</t>
  </si>
  <si>
    <t>반월당효성해링턴플레이스</t>
  </si>
  <si>
    <t>31,36,45,56</t>
  </si>
  <si>
    <t>33~57</t>
  </si>
  <si>
    <t>33~35</t>
  </si>
  <si>
    <t>24,31,33,34,40,47</t>
  </si>
  <si>
    <t>23,29,32,33,39</t>
  </si>
  <si>
    <t>32~68</t>
  </si>
  <si>
    <t>34~47</t>
  </si>
  <si>
    <t>서초동원베네스트</t>
  </si>
  <si>
    <t>서울</t>
  </si>
  <si>
    <t>서초</t>
  </si>
  <si>
    <t>호반써밋서초파크뷰</t>
  </si>
  <si>
    <t>우면</t>
  </si>
  <si>
    <t>판교푸르지오그랑블</t>
  </si>
  <si>
    <t>경기</t>
  </si>
  <si>
    <t>성남</t>
  </si>
  <si>
    <t>백현</t>
  </si>
  <si>
    <t>대구효성백년가약2</t>
  </si>
  <si>
    <t>부산연산자이</t>
  </si>
  <si>
    <t>연제</t>
  </si>
  <si>
    <t>연산</t>
  </si>
  <si>
    <t>연산제1</t>
  </si>
  <si>
    <t>부산WBC더팰레스of</t>
  </si>
  <si>
    <t>우</t>
  </si>
  <si>
    <t>우2</t>
  </si>
  <si>
    <t>남</t>
  </si>
  <si>
    <t>센텀비스타동원아파트</t>
  </si>
  <si>
    <t>수영</t>
  </si>
  <si>
    <t>민락</t>
  </si>
  <si>
    <t>동래</t>
  </si>
  <si>
    <t>남천자이아파트</t>
  </si>
  <si>
    <t>남천</t>
  </si>
  <si>
    <t>부산사직KCC스위첸</t>
  </si>
  <si>
    <t>사직</t>
  </si>
  <si>
    <t>신정</t>
  </si>
  <si>
    <t>31,42</t>
  </si>
  <si>
    <t>24,35</t>
  </si>
  <si>
    <t>36~100</t>
  </si>
  <si>
    <t>32~91</t>
  </si>
  <si>
    <t>33,34,42</t>
  </si>
  <si>
    <t>23~49</t>
  </si>
  <si>
    <t>23~33</t>
  </si>
  <si>
    <t>양천목동하이페리온</t>
  </si>
  <si>
    <t>양천</t>
  </si>
  <si>
    <t>목</t>
  </si>
  <si>
    <t>목1</t>
  </si>
  <si>
    <t>목동트라팰리스</t>
  </si>
  <si>
    <t>용산</t>
  </si>
  <si>
    <t>연수</t>
  </si>
  <si>
    <t>송도</t>
  </si>
  <si>
    <t>대전아이파크1단지</t>
  </si>
  <si>
    <t>대전</t>
  </si>
  <si>
    <t>유성</t>
  </si>
  <si>
    <t>상대</t>
  </si>
  <si>
    <t>서</t>
  </si>
  <si>
    <t>트리풀시티9단지아파트</t>
  </si>
  <si>
    <t>해운대롯데캐슬스타</t>
  </si>
  <si>
    <t>중동</t>
  </si>
  <si>
    <t>화정</t>
  </si>
  <si>
    <t>56,62,63,64,68</t>
  </si>
  <si>
    <t>40,98,114</t>
  </si>
  <si>
    <t>23,31</t>
  </si>
  <si>
    <t>32,42</t>
  </si>
  <si>
    <t>29,33</t>
  </si>
  <si>
    <t>33,40</t>
  </si>
  <si>
    <t>30,34</t>
  </si>
  <si>
    <t>38,45,52,55,70</t>
  </si>
  <si>
    <t>35,39</t>
  </si>
  <si>
    <t>신천</t>
  </si>
  <si>
    <t>상당</t>
  </si>
  <si>
    <t>사천</t>
  </si>
  <si>
    <t>대구태왕아너스</t>
  </si>
  <si>
    <t>황금</t>
  </si>
  <si>
    <t>황금1</t>
  </si>
  <si>
    <t>침산</t>
  </si>
  <si>
    <t>대구화성파크드림</t>
  </si>
  <si>
    <t>범어3</t>
  </si>
  <si>
    <t>대구월성태왕아너스</t>
  </si>
  <si>
    <t>달서</t>
  </si>
  <si>
    <t>월성</t>
  </si>
  <si>
    <t>월성1</t>
  </si>
  <si>
    <t>대구월배역포스코더샾</t>
  </si>
  <si>
    <t>진천</t>
  </si>
  <si>
    <t>상인</t>
  </si>
  <si>
    <t>상인1</t>
  </si>
  <si>
    <t>월성푸르지오</t>
  </si>
  <si>
    <t>대구수성SK뷰</t>
  </si>
  <si>
    <t>두산</t>
  </si>
  <si>
    <t>대구수성레이크시티</t>
  </si>
  <si>
    <t>상</t>
  </si>
  <si>
    <t>감삼</t>
  </si>
  <si>
    <t>대구범어숲파크드림</t>
  </si>
  <si>
    <t>범어2</t>
  </si>
  <si>
    <t>대구월성협성휴포레</t>
  </si>
  <si>
    <t>대구대봉태왕아너스</t>
  </si>
  <si>
    <t>대봉1</t>
  </si>
  <si>
    <t>대구수성효성해링턴</t>
  </si>
  <si>
    <t>침산화성파크드림</t>
  </si>
  <si>
    <t>대구범어에일린의뜰</t>
  </si>
  <si>
    <t>월배삼정그린코아포레스트</t>
  </si>
  <si>
    <t>대천</t>
  </si>
  <si>
    <t>범어서한포레스트</t>
  </si>
  <si>
    <t>더샵수성라크에르</t>
  </si>
  <si>
    <t>지산</t>
  </si>
  <si>
    <t>대구상인청구타운</t>
  </si>
  <si>
    <t>수성그린타운</t>
  </si>
  <si>
    <t>수성동1가</t>
  </si>
  <si>
    <t>상인동화태왕한양타운</t>
  </si>
  <si>
    <t>성서한마음타운</t>
  </si>
  <si>
    <t>경북</t>
  </si>
  <si>
    <t>포항</t>
  </si>
  <si>
    <t>부산해운대센텀스타</t>
  </si>
  <si>
    <t>부산대연힐스테이트</t>
  </si>
  <si>
    <t>대연</t>
  </si>
  <si>
    <t>롯데캐슬마린아파트</t>
  </si>
  <si>
    <t>포레나부산덕천아파트</t>
  </si>
  <si>
    <t>덕천</t>
  </si>
  <si>
    <t>동래래미안아이파크아파트</t>
  </si>
  <si>
    <t>온천</t>
  </si>
  <si>
    <t>메가센텀꿈에그린아파트</t>
  </si>
  <si>
    <t>반여</t>
  </si>
  <si>
    <t>부산아시아드코오롱</t>
  </si>
  <si>
    <t>거제</t>
  </si>
  <si>
    <t>해운대자이2차</t>
  </si>
  <si>
    <t>27,36</t>
  </si>
  <si>
    <t>32,33</t>
  </si>
  <si>
    <t>25~45</t>
  </si>
  <si>
    <t>27,31</t>
  </si>
  <si>
    <t>19,23</t>
  </si>
  <si>
    <t>25,30,34</t>
  </si>
  <si>
    <t>36-87</t>
  </si>
  <si>
    <t>34,39,44,49,55</t>
  </si>
  <si>
    <t>33,36,46,48</t>
  </si>
  <si>
    <t>33~78</t>
  </si>
  <si>
    <t>주류광고</t>
  </si>
  <si>
    <t>30,34,48,56</t>
  </si>
  <si>
    <t>35~88</t>
  </si>
  <si>
    <t>37~60</t>
  </si>
  <si>
    <t>34~58</t>
  </si>
  <si>
    <t>25~33</t>
  </si>
  <si>
    <t>27~44</t>
  </si>
  <si>
    <t>26~35</t>
  </si>
  <si>
    <t>32~59</t>
  </si>
  <si>
    <t>18~56</t>
  </si>
  <si>
    <t>27~50</t>
  </si>
  <si>
    <t>32, 42, 46, 50, 64</t>
  </si>
  <si>
    <t>34,39</t>
  </si>
  <si>
    <t>24,29,33,44,52</t>
  </si>
  <si>
    <t>25,32,47</t>
  </si>
  <si>
    <t>23~44</t>
  </si>
  <si>
    <t>24,30</t>
  </si>
  <si>
    <t>39,96</t>
  </si>
  <si>
    <t>24~66</t>
  </si>
  <si>
    <t>32,38,47</t>
  </si>
  <si>
    <t>24,30,33</t>
  </si>
  <si>
    <t>25,26,31,34,36,39,44</t>
  </si>
  <si>
    <t>33,39,46,49,52</t>
  </si>
  <si>
    <t>34,35</t>
  </si>
  <si>
    <t>25,30,33,34</t>
  </si>
  <si>
    <t>23~30</t>
  </si>
  <si>
    <t>청주모충LH트릴로채</t>
  </si>
  <si>
    <t>모충</t>
  </si>
  <si>
    <t>대구우방드림시티</t>
  </si>
  <si>
    <t>유천</t>
  </si>
  <si>
    <t>대구범어파크리젠시</t>
  </si>
  <si>
    <t>대구상인파크드림1차</t>
  </si>
  <si>
    <t>대구힐스테이트황금</t>
  </si>
  <si>
    <t>대구월배아이파크2차</t>
  </si>
  <si>
    <t>대구월성주공4</t>
  </si>
  <si>
    <t>수성골드클래스더센텀</t>
  </si>
  <si>
    <t>범어서한포레스트of</t>
  </si>
  <si>
    <t>대구도남LH1단지</t>
  </si>
  <si>
    <t>국우</t>
  </si>
  <si>
    <t>대구정화우방팔레스</t>
  </si>
  <si>
    <t>수성뷰웰리버파크</t>
  </si>
  <si>
    <t>경남타운</t>
  </si>
  <si>
    <t>봉덕</t>
  </si>
  <si>
    <t>중산하늘채더퍼스트</t>
  </si>
  <si>
    <t>경산</t>
  </si>
  <si>
    <t>중산</t>
  </si>
  <si>
    <t>금정</t>
  </si>
  <si>
    <t>부산해운대KCC스위첸</t>
  </si>
  <si>
    <t>좌</t>
  </si>
  <si>
    <t>부산수영SK뷰1</t>
  </si>
  <si>
    <t>망미</t>
  </si>
  <si>
    <t>부산동래롯데캐슬퀸</t>
  </si>
  <si>
    <t>명륜</t>
  </si>
  <si>
    <t>해운대신시가지경동메르빌</t>
  </si>
  <si>
    <t>e편한세상오션테라스4단지</t>
  </si>
  <si>
    <t>연산동일동미라주더스타</t>
  </si>
  <si>
    <t>래미안어반파크</t>
  </si>
  <si>
    <t>부산진</t>
  </si>
  <si>
    <t>연지</t>
  </si>
  <si>
    <t>해운대아이파크</t>
  </si>
  <si>
    <t>가야롯데캐슬골드아너</t>
  </si>
  <si>
    <t>가야</t>
  </si>
  <si>
    <t>롯데갤러리움센텀오피스텔</t>
  </si>
  <si>
    <t>부산해운대양우내안애</t>
  </si>
  <si>
    <t>부산동래삼정그린코아</t>
  </si>
  <si>
    <t>부산만덕3휴먼시아</t>
  </si>
  <si>
    <t>만덕</t>
  </si>
  <si>
    <t>부산동원듀크빌리지</t>
  </si>
  <si>
    <t>좌동</t>
  </si>
  <si>
    <t>더샵남천프레스티지아파트</t>
  </si>
  <si>
    <t>더샵동래</t>
  </si>
  <si>
    <t>남천금호어울림더비치</t>
  </si>
  <si>
    <t>해운대자이</t>
  </si>
  <si>
    <t>해운대힐스테이트위브</t>
  </si>
  <si>
    <t>삼산</t>
  </si>
  <si>
    <t>23-38</t>
  </si>
  <si>
    <t>39~56</t>
  </si>
  <si>
    <t>24~43</t>
  </si>
  <si>
    <t>86~137</t>
  </si>
  <si>
    <t>23~45</t>
  </si>
  <si>
    <t>24~40</t>
  </si>
  <si>
    <t>15~24</t>
  </si>
  <si>
    <t>32,40</t>
  </si>
  <si>
    <t>21,26,44</t>
  </si>
  <si>
    <t>34,42</t>
  </si>
  <si>
    <t>35,36,55,65</t>
  </si>
  <si>
    <t>34,47</t>
  </si>
  <si>
    <t>31~41</t>
  </si>
  <si>
    <t>31~83</t>
  </si>
  <si>
    <t>24~35</t>
  </si>
  <si>
    <t>33~56</t>
  </si>
  <si>
    <t>32,33,35,44,62,63</t>
  </si>
  <si>
    <t>16,18,29,32</t>
  </si>
  <si>
    <t>23~55</t>
  </si>
  <si>
    <t>35~128</t>
  </si>
  <si>
    <t>15,25,34,41</t>
  </si>
  <si>
    <t>53,67,73,80,90</t>
  </si>
  <si>
    <t>30~33</t>
  </si>
  <si>
    <t>21~31</t>
  </si>
  <si>
    <t>27,34,35,38,40,41</t>
  </si>
  <si>
    <t>31,35,36</t>
  </si>
  <si>
    <t>25,32,33,36,37,45</t>
  </si>
  <si>
    <t>18~96</t>
  </si>
  <si>
    <t>24,34</t>
  </si>
  <si>
    <t>영등포</t>
  </si>
  <si>
    <t>고양</t>
  </si>
  <si>
    <t>화성</t>
  </si>
  <si>
    <t>다산자이아이비플레이스</t>
  </si>
  <si>
    <t>남양주</t>
  </si>
  <si>
    <t>다산</t>
  </si>
  <si>
    <t>매탄레이크파크</t>
  </si>
  <si>
    <t>수원</t>
  </si>
  <si>
    <t>매탄</t>
  </si>
  <si>
    <t>송도더샵센트럴시티</t>
  </si>
  <si>
    <t>인천</t>
  </si>
  <si>
    <t>이랜드PEER둔산</t>
  </si>
  <si>
    <t>둔산</t>
  </si>
  <si>
    <t>우미린에듀파크1단지아파트</t>
  </si>
  <si>
    <t>용정</t>
  </si>
  <si>
    <t>방촌청구제네스</t>
  </si>
  <si>
    <t>방촌</t>
  </si>
  <si>
    <t>롯데캐슬골드2단지</t>
  </si>
  <si>
    <t>구서</t>
  </si>
  <si>
    <t>SKHUBSKY</t>
  </si>
  <si>
    <t>온청</t>
  </si>
  <si>
    <t>e편한세상시민공원아파트</t>
  </si>
  <si>
    <t>전포</t>
  </si>
  <si>
    <t>두산1차</t>
  </si>
  <si>
    <t>대우1차아파트</t>
  </si>
  <si>
    <t>명륜자이</t>
  </si>
  <si>
    <t>힐스테이트명륜트라디움</t>
  </si>
  <si>
    <t>창원센텀푸르지오</t>
  </si>
  <si>
    <t>경남</t>
  </si>
  <si>
    <t>창원</t>
  </si>
  <si>
    <t>가음</t>
  </si>
  <si>
    <t>33~43</t>
  </si>
  <si>
    <t>22,24</t>
  </si>
  <si>
    <t>25~73</t>
  </si>
  <si>
    <t>31,34</t>
  </si>
  <si>
    <t>32,43,49</t>
  </si>
  <si>
    <t>33,37</t>
  </si>
  <si>
    <t>29,31</t>
  </si>
  <si>
    <t>24~81</t>
  </si>
  <si>
    <t>15~96</t>
  </si>
  <si>
    <t>24,30,34,40</t>
  </si>
  <si>
    <t>22,32,38,51</t>
  </si>
  <si>
    <t>24,32,37,48,55</t>
  </si>
  <si>
    <t>24,31</t>
  </si>
  <si>
    <t>35,44,57</t>
  </si>
  <si>
    <t>25~39</t>
  </si>
  <si>
    <t>강동고덕아이파크</t>
  </si>
  <si>
    <t>강동</t>
  </si>
  <si>
    <t>고덕</t>
  </si>
  <si>
    <t>고덕제1</t>
  </si>
  <si>
    <t>롯데캐슬엠파이어아파트</t>
  </si>
  <si>
    <t>여의도</t>
  </si>
  <si>
    <t>신정양천아파트</t>
  </si>
  <si>
    <t>송파가락두산위브</t>
  </si>
  <si>
    <t>송파</t>
  </si>
  <si>
    <t>가락</t>
  </si>
  <si>
    <t>반송</t>
  </si>
  <si>
    <t>동탄1</t>
  </si>
  <si>
    <t>오산</t>
  </si>
  <si>
    <t>덕양</t>
  </si>
  <si>
    <t>영통</t>
  </si>
  <si>
    <t>수원정자두견벽산3차</t>
  </si>
  <si>
    <t>정자</t>
  </si>
  <si>
    <t>오산대우</t>
  </si>
  <si>
    <t>수청</t>
  </si>
  <si>
    <t>이천설봉2차푸르지오</t>
  </si>
  <si>
    <t>이천</t>
  </si>
  <si>
    <t>증포</t>
  </si>
  <si>
    <t>남양주다산금강펜테리움</t>
  </si>
  <si>
    <t>동탄역시범리슈빌</t>
  </si>
  <si>
    <t>청계</t>
  </si>
  <si>
    <t>봉담</t>
  </si>
  <si>
    <t>송도2</t>
  </si>
  <si>
    <t>인천송도센트럴파크2</t>
  </si>
  <si>
    <t>송도더샵파크F13-1블럭</t>
  </si>
  <si>
    <t>원당</t>
  </si>
  <si>
    <t>검단신도시디에트르리버파크</t>
  </si>
  <si>
    <t>송도더샵그린워크3차18-1BL</t>
  </si>
  <si>
    <t>e편한세상시티인하대역</t>
  </si>
  <si>
    <t>미추홀</t>
  </si>
  <si>
    <t>용현</t>
  </si>
  <si>
    <t>힐스테이트푸르지오주안</t>
  </si>
  <si>
    <t>주안</t>
  </si>
  <si>
    <t>도안18단지린풀하우스</t>
  </si>
  <si>
    <t>도안</t>
  </si>
  <si>
    <t>어울림하트</t>
  </si>
  <si>
    <t>원신흥</t>
  </si>
  <si>
    <t>도안베르디움</t>
  </si>
  <si>
    <t>대전둔산e편한세상1,2</t>
  </si>
  <si>
    <t>탄방</t>
  </si>
  <si>
    <t>가재마을7단지</t>
  </si>
  <si>
    <t>세종</t>
  </si>
  <si>
    <t>달빛</t>
  </si>
  <si>
    <t>종촌</t>
  </si>
  <si>
    <t>범지기마을9단지</t>
  </si>
  <si>
    <t>아름</t>
  </si>
  <si>
    <t>대구수성못코오롱</t>
  </si>
  <si>
    <t>파</t>
  </si>
  <si>
    <t>용계</t>
  </si>
  <si>
    <t>대구평리푸르지오</t>
  </si>
  <si>
    <t>평리</t>
  </si>
  <si>
    <t>대구앞산비스타동원</t>
  </si>
  <si>
    <t>대구수성하늘채르레브</t>
  </si>
  <si>
    <t>범물</t>
  </si>
  <si>
    <t>월성삼정그린코아에듀파크아파트</t>
  </si>
  <si>
    <t>앞산서한이다음</t>
  </si>
  <si>
    <t>진</t>
  </si>
  <si>
    <t>부산해운대이안</t>
  </si>
  <si>
    <t>중제1</t>
  </si>
  <si>
    <t>부산해운대우신골든빌</t>
  </si>
  <si>
    <t>재송제2</t>
  </si>
  <si>
    <t>부산센텀동부센트레빌</t>
  </si>
  <si>
    <t>부산센텀비치푸르지오</t>
  </si>
  <si>
    <t>민락동</t>
  </si>
  <si>
    <t>부산해운대달맞이유림</t>
  </si>
  <si>
    <t>중제2</t>
  </si>
  <si>
    <t>부산해운대센텀리슈빌</t>
  </si>
  <si>
    <t>재송1</t>
  </si>
  <si>
    <t>부산민락롯데캐슬자이언트</t>
  </si>
  <si>
    <t>개금</t>
  </si>
  <si>
    <t>부산해운대롯데3차</t>
  </si>
  <si>
    <t>해운대중동금호어울림</t>
  </si>
  <si>
    <t>해운대센트럴파크</t>
  </si>
  <si>
    <t>장전</t>
  </si>
  <si>
    <t>센텀센시빌</t>
  </si>
  <si>
    <t>우동</t>
  </si>
  <si>
    <t>해운대LIG건영아파트</t>
  </si>
  <si>
    <t>기장</t>
  </si>
  <si>
    <t>해운대두산2차</t>
  </si>
  <si>
    <t>해운대쌍용플래티넘트윈</t>
  </si>
  <si>
    <t>동래센트럴파크하이츠2단지</t>
  </si>
  <si>
    <t>벽산블루밍장전디자인시티</t>
  </si>
  <si>
    <t>해운대삼성</t>
  </si>
  <si>
    <t>해운대LH뜨란채</t>
  </si>
  <si>
    <t>해운대SKVIEW아파트</t>
  </si>
  <si>
    <t>센텀경동리인아파트</t>
  </si>
  <si>
    <t>청학영도신도브래뉴</t>
  </si>
  <si>
    <t>영도</t>
  </si>
  <si>
    <t>청학</t>
  </si>
  <si>
    <t>정관</t>
  </si>
  <si>
    <t>모전</t>
  </si>
  <si>
    <t>해운대센트럴푸르지오</t>
  </si>
  <si>
    <t>이진젠시티</t>
  </si>
  <si>
    <t>서면아이파크아파트</t>
  </si>
  <si>
    <t>동성</t>
  </si>
  <si>
    <t>해운대더샵센텀그린</t>
  </si>
  <si>
    <t>부산동원화인패밀리타운</t>
  </si>
  <si>
    <t>해운대센텀두산위브</t>
  </si>
  <si>
    <t>센텀KCC스위첸아파트</t>
  </si>
  <si>
    <t>더샵동래오피스텔</t>
  </si>
  <si>
    <t>해운대LG아파트</t>
  </si>
  <si>
    <t>더샵파크시티</t>
  </si>
  <si>
    <t>센텀비스타동원2차</t>
  </si>
  <si>
    <t>해운대반도보라빌</t>
  </si>
  <si>
    <t>대연롯데캐슬레전드</t>
  </si>
  <si>
    <t>남</t>
    <phoneticPr fontId="2" type="noConversion"/>
  </si>
  <si>
    <t>남양</t>
  </si>
  <si>
    <t>김해</t>
  </si>
  <si>
    <t>외</t>
  </si>
  <si>
    <t>일동한신</t>
  </si>
  <si>
    <t>쌍용더플래티넘김해아파트</t>
  </si>
  <si>
    <t>외동</t>
  </si>
  <si>
    <t>25~65</t>
  </si>
  <si>
    <t>41~92</t>
  </si>
  <si>
    <t>10~19</t>
  </si>
  <si>
    <t>38,50</t>
  </si>
  <si>
    <t>13~36</t>
  </si>
  <si>
    <t>33,46,52</t>
  </si>
  <si>
    <t>31,33</t>
  </si>
  <si>
    <t>33~40</t>
  </si>
  <si>
    <t>33~45</t>
  </si>
  <si>
    <t>31~114</t>
  </si>
  <si>
    <t>29~121</t>
  </si>
  <si>
    <t>29~43</t>
  </si>
  <si>
    <t>25,33</t>
  </si>
  <si>
    <t>33,34,39,45,46</t>
  </si>
  <si>
    <t>13~50</t>
  </si>
  <si>
    <t>19,22,24,26,30,34,37</t>
  </si>
  <si>
    <t>28~34</t>
  </si>
  <si>
    <t>33,34</t>
  </si>
  <si>
    <t>23~39</t>
  </si>
  <si>
    <t>33,41</t>
  </si>
  <si>
    <t>33,38</t>
  </si>
  <si>
    <t>평형X</t>
  </si>
  <si>
    <t>25~42</t>
  </si>
  <si>
    <t>18~33</t>
  </si>
  <si>
    <t>30,32,33</t>
  </si>
  <si>
    <t>25~35</t>
  </si>
  <si>
    <t>26,30,33</t>
  </si>
  <si>
    <t>32~48</t>
  </si>
  <si>
    <t>종교광고</t>
  </si>
  <si>
    <t>17~43</t>
  </si>
  <si>
    <t>33~59</t>
  </si>
  <si>
    <t>24~45</t>
  </si>
  <si>
    <t>17,21,23</t>
  </si>
  <si>
    <t>22~63</t>
  </si>
  <si>
    <t>22,31,50</t>
  </si>
  <si>
    <t>10~30</t>
  </si>
  <si>
    <t>33~65</t>
  </si>
  <si>
    <t>26~63</t>
  </si>
  <si>
    <t>23~59</t>
  </si>
  <si>
    <t>21,23</t>
  </si>
  <si>
    <t>33, 54</t>
  </si>
  <si>
    <t>31,32</t>
  </si>
  <si>
    <t>26,33,45</t>
  </si>
  <si>
    <t>19,23,36,30,34,39</t>
  </si>
  <si>
    <t>25,29</t>
  </si>
  <si>
    <t>31,42,46</t>
  </si>
  <si>
    <t>23,34,35,40,45,47</t>
  </si>
  <si>
    <t>24,26,34,41</t>
  </si>
  <si>
    <t>21,24,32,38,43,48,57</t>
  </si>
  <si>
    <t>28,30,34,41,44</t>
  </si>
  <si>
    <t>이사로 인해 꺼둠 이사 후 정상작동 예정</t>
  </si>
  <si>
    <t>29,34,42</t>
  </si>
  <si>
    <t>17,22,25,33,34,39,46</t>
  </si>
  <si>
    <t>22,26,30,34,41</t>
  </si>
  <si>
    <t>27,33</t>
  </si>
  <si>
    <t>논현</t>
  </si>
  <si>
    <t>송파가락쌍용1차</t>
  </si>
  <si>
    <t>가락2</t>
  </si>
  <si>
    <t>양천목동13단지</t>
  </si>
  <si>
    <t>신정6</t>
  </si>
  <si>
    <t>양천목동대원칸타빌2</t>
  </si>
  <si>
    <t>목4</t>
  </si>
  <si>
    <t>양천목동힐스테이트</t>
  </si>
  <si>
    <t>신정1동</t>
  </si>
  <si>
    <t>양천목동12단지</t>
  </si>
  <si>
    <t>신정7</t>
  </si>
  <si>
    <t>당산삼성래미안</t>
  </si>
  <si>
    <t>당산동5가</t>
  </si>
  <si>
    <t>화성동탄KCC스위첸</t>
  </si>
  <si>
    <t>구미</t>
  </si>
  <si>
    <t>김포</t>
  </si>
  <si>
    <t>고촌</t>
  </si>
  <si>
    <t>신곡</t>
  </si>
  <si>
    <t>동화</t>
  </si>
  <si>
    <t>병점</t>
  </si>
  <si>
    <t>원동</t>
  </si>
  <si>
    <t>구리</t>
  </si>
  <si>
    <t>남양주경남아너스빌</t>
  </si>
  <si>
    <t>인창주공2단지</t>
  </si>
  <si>
    <t>인창</t>
  </si>
  <si>
    <t>분당</t>
  </si>
  <si>
    <t>향남</t>
  </si>
  <si>
    <t>남양뉴타운lh20단지</t>
  </si>
  <si>
    <t>매탄위브하늘채</t>
  </si>
  <si>
    <t>하길</t>
  </si>
  <si>
    <t>서봉마을모아엘가아파트</t>
  </si>
  <si>
    <t>덕은</t>
  </si>
  <si>
    <t>DMC자이더리버</t>
  </si>
  <si>
    <t>병점역아이파크캐슬</t>
  </si>
  <si>
    <t>광주</t>
  </si>
  <si>
    <t>분당두산위브파빌리온오피스텔</t>
  </si>
  <si>
    <t>다산한양수자인리버파크</t>
  </si>
  <si>
    <t>부천중동리첸시아</t>
  </si>
  <si>
    <t>부천</t>
  </si>
  <si>
    <t>수원화서블루밍푸른숲</t>
  </si>
  <si>
    <t>화서</t>
  </si>
  <si>
    <t>김포현대힐스테이트1</t>
  </si>
  <si>
    <t>오산운암주공4</t>
  </si>
  <si>
    <t>양산</t>
  </si>
  <si>
    <t>오산원동태영</t>
  </si>
  <si>
    <t>화성동화마을휴먼시아5</t>
  </si>
  <si>
    <t>남동</t>
  </si>
  <si>
    <t>경서</t>
  </si>
  <si>
    <t>청라2</t>
  </si>
  <si>
    <t>인천청라한라비발디</t>
  </si>
  <si>
    <t>논현한화에코메트로6단지</t>
  </si>
  <si>
    <t>송도파크레인동일하이빌아파트</t>
  </si>
  <si>
    <t>동춘</t>
  </si>
  <si>
    <t>검단신도시우미린더시그니처</t>
  </si>
  <si>
    <t>루원시티SK리더스뷰</t>
  </si>
  <si>
    <t>가정</t>
  </si>
  <si>
    <t>검단신도시예미지트리플에듀아파트</t>
  </si>
  <si>
    <t>당하</t>
  </si>
  <si>
    <t>검단LH13단지</t>
  </si>
  <si>
    <t>더샵송도센트럴파크3차</t>
  </si>
  <si>
    <t>영종한라비발디</t>
  </si>
  <si>
    <t>하늘별빛</t>
  </si>
  <si>
    <t>주안파크자이더플래티넘</t>
  </si>
  <si>
    <t>검단신도시파라곤보타닉파크아파트</t>
  </si>
  <si>
    <t>관교한신휴플러스</t>
  </si>
  <si>
    <t>태평아파트</t>
  </si>
  <si>
    <t>태평</t>
  </si>
  <si>
    <t>도안리슈빌</t>
  </si>
  <si>
    <t>힐스테이트도안</t>
  </si>
  <si>
    <t>용계_</t>
  </si>
  <si>
    <t>엑스포아파트</t>
  </si>
  <si>
    <t>전민</t>
  </si>
  <si>
    <t>가재마을9단지</t>
  </si>
  <si>
    <t>중촌</t>
  </si>
  <si>
    <t>창포아이파크2차</t>
  </si>
  <si>
    <t>두호</t>
  </si>
  <si>
    <t>부산해운대마스터</t>
  </si>
  <si>
    <t>좌제1</t>
  </si>
  <si>
    <t>부산더샵센트럴스타</t>
  </si>
  <si>
    <t>부전</t>
  </si>
  <si>
    <t>정관동일스위트3차</t>
  </si>
  <si>
    <t>동일아파트</t>
  </si>
  <si>
    <t>게임광고 불가</t>
  </si>
  <si>
    <t>20,27,35,45,55</t>
  </si>
  <si>
    <t>26~69</t>
  </si>
  <si>
    <t>23~60</t>
  </si>
  <si>
    <t>19~27</t>
  </si>
  <si>
    <t>33,37,43,48,58</t>
  </si>
  <si>
    <t>24,32</t>
  </si>
  <si>
    <t>34~49</t>
  </si>
  <si>
    <t>29~33</t>
  </si>
  <si>
    <t>17,21,32</t>
  </si>
  <si>
    <t>17,21</t>
  </si>
  <si>
    <t>25,34</t>
  </si>
  <si>
    <t>24,29,32,33,39,47</t>
  </si>
  <si>
    <t>23~53</t>
  </si>
  <si>
    <t>22,24,31,34,38,39,42,43,45,57,58,62</t>
  </si>
  <si>
    <t>37,42</t>
  </si>
  <si>
    <t>48~104</t>
  </si>
  <si>
    <t>39~44</t>
  </si>
  <si>
    <t>29,31,34,37</t>
  </si>
  <si>
    <t>30,33,34,40</t>
  </si>
  <si>
    <t>30,34,40</t>
  </si>
  <si>
    <t>31,33,37,39</t>
  </si>
  <si>
    <t>26,</t>
  </si>
  <si>
    <t>34,42,46,50,71,72,81,84</t>
  </si>
  <si>
    <t>38,43,52,70,77</t>
  </si>
  <si>
    <t>17,19,25,29,30,33</t>
  </si>
  <si>
    <t>20,24,33,34,45</t>
  </si>
  <si>
    <t>23,28,31,41</t>
  </si>
  <si>
    <t>29,33,34,36</t>
  </si>
  <si>
    <t>32,37,48</t>
  </si>
  <si>
    <t>32,43,48,56</t>
  </si>
  <si>
    <t>28,33,34,37,45</t>
  </si>
  <si>
    <t>35,42,52</t>
  </si>
  <si>
    <t>33~120</t>
  </si>
  <si>
    <t>26,29,33,39</t>
  </si>
  <si>
    <t>12/1~</t>
    <phoneticPr fontId="2" type="noConversion"/>
  </si>
  <si>
    <t>11/27~</t>
    <phoneticPr fontId="2" type="noConversion"/>
  </si>
  <si>
    <t>11/26~</t>
    <phoneticPr fontId="2" type="noConversion"/>
  </si>
  <si>
    <t>11/28~</t>
    <phoneticPr fontId="2" type="noConversion"/>
  </si>
  <si>
    <t>12/2~</t>
    <phoneticPr fontId="2" type="noConversion"/>
  </si>
  <si>
    <t>12/3~</t>
    <phoneticPr fontId="2" type="noConversion"/>
  </si>
  <si>
    <t>11/29~</t>
    <phoneticPr fontId="2" type="noConversion"/>
  </si>
  <si>
    <t>12/8~</t>
    <phoneticPr fontId="2" type="noConversion"/>
  </si>
  <si>
    <t>12/5~</t>
    <phoneticPr fontId="2" type="noConversion"/>
  </si>
  <si>
    <t>타운보드 지역 파트너</t>
    <phoneticPr fontId="2" type="noConversion"/>
  </si>
  <si>
    <t>2025-11-25~</t>
    <phoneticPr fontId="2" type="noConversion"/>
  </si>
  <si>
    <t>인천송도퍼스트월드of</t>
  </si>
  <si>
    <t>송도1</t>
  </si>
  <si>
    <t>e편한세상영종국제도시</t>
  </si>
  <si>
    <t>더샵송도마리나베이</t>
  </si>
  <si>
    <t>영종한신더휴스카이파크</t>
  </si>
  <si>
    <t>태장2주공아파트</t>
  </si>
  <si>
    <t>강원</t>
  </si>
  <si>
    <t>원주</t>
  </si>
  <si>
    <t>태장</t>
  </si>
  <si>
    <t>대전열매마을4단지</t>
  </si>
  <si>
    <t>지족</t>
  </si>
  <si>
    <t>노은2</t>
  </si>
  <si>
    <t>대전중구금호어울림</t>
  </si>
  <si>
    <t>문화</t>
  </si>
  <si>
    <t>문화1</t>
  </si>
  <si>
    <t>e편한세상대전에코포레</t>
  </si>
  <si>
    <t>용운</t>
  </si>
  <si>
    <t>한마루삼성아파트</t>
  </si>
  <si>
    <t>유진하나아파트</t>
  </si>
  <si>
    <t>도안예미지7단지</t>
  </si>
  <si>
    <t>봉명</t>
  </si>
  <si>
    <t>용운마젤란21아파트</t>
  </si>
  <si>
    <t>금강엑슬루타워아파트</t>
  </si>
  <si>
    <t>대덕</t>
  </si>
  <si>
    <t>석봉</t>
  </si>
  <si>
    <t>센트럴파크3단지</t>
  </si>
  <si>
    <t>도안13블럭금성백조예미지</t>
  </si>
  <si>
    <t>호반써밋그랜드파크아파트1BL</t>
  </si>
  <si>
    <t>목동올리브힐</t>
  </si>
  <si>
    <t>목동</t>
  </si>
  <si>
    <t>둔산청솔아파트</t>
  </si>
  <si>
    <t>대전강변</t>
    <phoneticPr fontId="2" type="noConversion"/>
  </si>
  <si>
    <t>만년</t>
  </si>
  <si>
    <t>다온숲3단지</t>
  </si>
  <si>
    <t>관저</t>
  </si>
  <si>
    <t>대전법동e편한세상</t>
  </si>
  <si>
    <t>법</t>
  </si>
  <si>
    <t>대전선비마을2단지</t>
  </si>
  <si>
    <t>송촌</t>
  </si>
  <si>
    <t>관저더샵2차아파트</t>
  </si>
  <si>
    <t>누리아파트</t>
  </si>
  <si>
    <t>월평</t>
  </si>
  <si>
    <t>제이파크</t>
  </si>
  <si>
    <t>교촌</t>
  </si>
  <si>
    <t>수정타운</t>
  </si>
  <si>
    <t>트리풀시티5단지아파트</t>
  </si>
  <si>
    <t>초록마을2단지</t>
  </si>
  <si>
    <t>복수</t>
  </si>
  <si>
    <t>대덕테크노밸리12단지</t>
  </si>
  <si>
    <t>세종리버파크7단지</t>
  </si>
  <si>
    <t>소담</t>
  </si>
  <si>
    <t>제일풍경채도램9단지</t>
  </si>
  <si>
    <t>도담</t>
  </si>
  <si>
    <t>새나루마을1단지아파트</t>
  </si>
  <si>
    <t>집현</t>
  </si>
  <si>
    <t>죽림우방유쉘</t>
  </si>
  <si>
    <t>조치원</t>
  </si>
  <si>
    <t>죽림</t>
  </si>
  <si>
    <t>가락마을17단지</t>
  </si>
  <si>
    <t>고운</t>
  </si>
  <si>
    <t>마음</t>
  </si>
  <si>
    <t>범지기3단지아파트</t>
  </si>
  <si>
    <t>달빛1</t>
  </si>
  <si>
    <t>새나루마을10단지아파트</t>
  </si>
  <si>
    <t>시청대로</t>
  </si>
  <si>
    <t>첫마을1단지</t>
  </si>
  <si>
    <t>노을1</t>
  </si>
  <si>
    <t>한솔</t>
  </si>
  <si>
    <t>범지기마을11단지</t>
  </si>
  <si>
    <t>첫마을5단지</t>
  </si>
  <si>
    <t>첫마을6단지</t>
  </si>
  <si>
    <t>범지기마을5단지6단지</t>
  </si>
  <si>
    <t>호려울마을10단지</t>
  </si>
  <si>
    <t>보람</t>
  </si>
  <si>
    <t>세종e편한세상</t>
  </si>
  <si>
    <t>신안</t>
  </si>
  <si>
    <t>해밀마을2단지</t>
  </si>
  <si>
    <t>해밀</t>
  </si>
  <si>
    <t>호려울마을8단지</t>
  </si>
  <si>
    <t>새나루마을3단지</t>
  </si>
  <si>
    <t>가락마을9단지</t>
  </si>
  <si>
    <t>첫마을7단지래미안</t>
  </si>
  <si>
    <t>세종한뜰마을5단지린스트라우스</t>
  </si>
  <si>
    <t>어진</t>
  </si>
  <si>
    <t>첫마을4단지</t>
  </si>
  <si>
    <t>새나루마을4단지</t>
  </si>
  <si>
    <t>세종메이저시티새뜸마을5단지아파트</t>
  </si>
  <si>
    <t>새롬</t>
  </si>
  <si>
    <t>새뜸마을11단지아파트</t>
  </si>
  <si>
    <t>새뜸마을3단지</t>
  </si>
  <si>
    <t>새롬북</t>
  </si>
  <si>
    <t>수루배마을3단지</t>
  </si>
  <si>
    <t>반곡</t>
  </si>
  <si>
    <t>해들마을4단지아파트</t>
  </si>
  <si>
    <t>대평</t>
  </si>
  <si>
    <t>세종가락마을13단지</t>
  </si>
  <si>
    <t>가온마을10단지</t>
  </si>
  <si>
    <t>다정</t>
  </si>
  <si>
    <t>수루배마을1단지아파트</t>
  </si>
  <si>
    <t>가재마을11단지</t>
  </si>
  <si>
    <t>신흥푸르지오아파트</t>
  </si>
  <si>
    <t>신흥</t>
  </si>
  <si>
    <t>새뜸마을14단지더샵힐스테이트아파트</t>
  </si>
  <si>
    <t>도램마을1단지</t>
  </si>
  <si>
    <t>천안신부청광플러스원</t>
  </si>
  <si>
    <t>충남</t>
  </si>
  <si>
    <t>천안</t>
  </si>
  <si>
    <t>신부</t>
  </si>
  <si>
    <t>다가동신성1차아파트</t>
  </si>
  <si>
    <t>동남</t>
  </si>
  <si>
    <t>다가</t>
  </si>
  <si>
    <t>천안레이크타운2차푸르지오아파트</t>
  </si>
  <si>
    <t>서북</t>
  </si>
  <si>
    <t>성성</t>
  </si>
  <si>
    <t>불당이안아파트</t>
  </si>
  <si>
    <t>불당</t>
  </si>
  <si>
    <t>오창모아미래도와이드시티4단지</t>
  </si>
  <si>
    <t>오창</t>
  </si>
  <si>
    <t>주성</t>
  </si>
  <si>
    <t>청주동남시티프라디움2</t>
  </si>
  <si>
    <t>용암</t>
  </si>
  <si>
    <t>충주칠금1차부영</t>
  </si>
  <si>
    <t>충주</t>
  </si>
  <si>
    <t>칠금</t>
  </si>
  <si>
    <t>율량금호어울림센트로</t>
  </si>
  <si>
    <t>율량</t>
  </si>
  <si>
    <t>오창우림필유1차</t>
  </si>
  <si>
    <t>청원</t>
  </si>
  <si>
    <t>청주동남파밀리에NHF4단지</t>
  </si>
  <si>
    <t>주은프레지던트아파트</t>
  </si>
  <si>
    <t>서원</t>
  </si>
  <si>
    <t>분평</t>
  </si>
  <si>
    <t>청주지웰시티푸르지오아파트</t>
  </si>
  <si>
    <t>복대</t>
  </si>
  <si>
    <t>두산한솔2차아파트</t>
  </si>
  <si>
    <t>개신</t>
  </si>
  <si>
    <t>강서베리굿1차</t>
  </si>
  <si>
    <t>강서</t>
  </si>
  <si>
    <t>신천힐탑맨션</t>
  </si>
  <si>
    <t>쌍촌</t>
  </si>
  <si>
    <t>더샵효자</t>
  </si>
  <si>
    <t>전북</t>
  </si>
  <si>
    <t>전주</t>
  </si>
  <si>
    <t>완산</t>
  </si>
  <si>
    <t>효자동2가</t>
  </si>
  <si>
    <t>대구범어태왕아너스</t>
  </si>
  <si>
    <t>대구수성태영데시앙</t>
  </si>
  <si>
    <t>수성4가</t>
  </si>
  <si>
    <t>대구침산코오롱2차</t>
  </si>
  <si>
    <t>침산2</t>
  </si>
  <si>
    <t>대구효성백년가약1</t>
  </si>
  <si>
    <t>대구범어우방유쉘</t>
  </si>
  <si>
    <t>대구칠성서희스타힐스</t>
  </si>
  <si>
    <t>대구수성코오롱하늘채</t>
  </si>
  <si>
    <t>수성3가</t>
  </si>
  <si>
    <t>수성2,3가</t>
  </si>
  <si>
    <t>대구신서롯데캐슬</t>
  </si>
  <si>
    <t>신서</t>
  </si>
  <si>
    <t>안심3,4</t>
  </si>
  <si>
    <t>대구역유림노르웨이숲</t>
  </si>
  <si>
    <t>칠성동2가</t>
  </si>
  <si>
    <t>대구연경아이파크</t>
  </si>
  <si>
    <t>지묘</t>
  </si>
  <si>
    <t>아파트/오피스텔</t>
  </si>
  <si>
    <t>대구신천역까사밀라</t>
  </si>
  <si>
    <t>수성보성타운</t>
  </si>
  <si>
    <t>수성동4가</t>
  </si>
  <si>
    <t>대신센트럴자이</t>
  </si>
  <si>
    <t>대신</t>
  </si>
  <si>
    <t>진천역대성스카이렉스</t>
  </si>
  <si>
    <t>반월당역서한포레스트</t>
  </si>
  <si>
    <t>오페라트루엘시민의숲</t>
  </si>
  <si>
    <t>고성동3가</t>
  </si>
  <si>
    <t>사월화성파크드림3단지</t>
  </si>
  <si>
    <t>힐스테이트범어센트럴</t>
  </si>
  <si>
    <t>시지한신휴플러스</t>
  </si>
  <si>
    <t>사월</t>
  </si>
  <si>
    <t>경남센트로팰리스</t>
  </si>
  <si>
    <t>태평로3가</t>
  </si>
  <si>
    <t>연경동화아이위시</t>
  </si>
  <si>
    <t>연경</t>
  </si>
  <si>
    <t>앞산봉덕영무예다음아파트</t>
  </si>
  <si>
    <t>신서동신일해피트리</t>
  </si>
  <si>
    <t>반야</t>
  </si>
  <si>
    <t>죽전역화성파크드림</t>
  </si>
  <si>
    <t>대봉교역태왕아너스</t>
  </si>
  <si>
    <t>시지반도유보라</t>
  </si>
  <si>
    <t>해링턴플레이스만촌</t>
  </si>
  <si>
    <t>래미안범어</t>
    <phoneticPr fontId="2" type="noConversion"/>
  </si>
  <si>
    <t>침산화성파크드림of</t>
  </si>
  <si>
    <t>김천부곡아주아트빌</t>
  </si>
  <si>
    <t>김천</t>
  </si>
  <si>
    <t>부곡</t>
  </si>
  <si>
    <t>구미구포성원</t>
  </si>
  <si>
    <t>구포</t>
  </si>
  <si>
    <t>신개금엘지아파트</t>
  </si>
  <si>
    <t>백양디이스트아파트</t>
  </si>
  <si>
    <t>부산반도스카이뷰</t>
  </si>
  <si>
    <t>온천제3</t>
  </si>
  <si>
    <t>대연파크푸르지오</t>
  </si>
  <si>
    <t>대연자이아파트</t>
  </si>
  <si>
    <t>가야센트레빌</t>
  </si>
  <si>
    <t>포레나동래아파트</t>
  </si>
  <si>
    <t>낙민</t>
  </si>
  <si>
    <t>김해센텀Q시티아파트</t>
  </si>
  <si>
    <t>주촌</t>
  </si>
  <si>
    <t>선지</t>
  </si>
  <si>
    <t>가좌올리움</t>
  </si>
  <si>
    <t>진주</t>
  </si>
  <si>
    <t>가호</t>
  </si>
  <si>
    <t>가좌</t>
  </si>
  <si>
    <t>남양산역반도유보라아이비파크6.0아파트</t>
  </si>
  <si>
    <t>동면</t>
  </si>
  <si>
    <t>석산</t>
  </si>
  <si>
    <t>울산송정반도유보라</t>
  </si>
  <si>
    <t>울산</t>
  </si>
  <si>
    <t>송정</t>
  </si>
  <si>
    <t>학성파크디아채</t>
  </si>
  <si>
    <t>학성</t>
  </si>
  <si>
    <t>서부성원상떼빌아파트</t>
  </si>
  <si>
    <t>울산삼성래미안2차</t>
  </si>
  <si>
    <t>약사</t>
  </si>
  <si>
    <t>울산현대패밀리서부</t>
  </si>
  <si>
    <t>울산달동월드메르디앙</t>
  </si>
  <si>
    <t>달동</t>
  </si>
  <si>
    <t>울산한라훼미리</t>
  </si>
  <si>
    <t>야음</t>
  </si>
  <si>
    <t>현대패밀리명덕2차</t>
  </si>
  <si>
    <t>힐스테이트이스턴베이</t>
  </si>
  <si>
    <t>경동햇빛마을</t>
  </si>
  <si>
    <t>성안</t>
  </si>
  <si>
    <t>한라그랜드</t>
  </si>
  <si>
    <t>반구</t>
  </si>
  <si>
    <t>크로바아파트</t>
  </si>
  <si>
    <t>태화선경</t>
  </si>
  <si>
    <t>태화</t>
  </si>
  <si>
    <t>강변맨션</t>
  </si>
  <si>
    <t>번영로하늘채센트럴파크</t>
  </si>
  <si>
    <t>현대문화2차</t>
  </si>
  <si>
    <t>서동현대</t>
  </si>
  <si>
    <t>청암현대아파트</t>
  </si>
  <si>
    <t>옥</t>
  </si>
  <si>
    <t>우정혁신호반베르디움</t>
  </si>
  <si>
    <t>현대패밀리서부2차아파트</t>
  </si>
  <si>
    <t>방어</t>
  </si>
  <si>
    <t>현대패밀리전하</t>
  </si>
  <si>
    <t>녹수</t>
  </si>
  <si>
    <t>전하</t>
  </si>
  <si>
    <t>우정혁신도시1차동원로얄듀크아파트</t>
  </si>
  <si>
    <t>중구</t>
  </si>
  <si>
    <t>종가</t>
  </si>
  <si>
    <t>울산타워더모스트오피스텔</t>
  </si>
  <si>
    <t>우정</t>
  </si>
  <si>
    <t>덕정유림</t>
  </si>
  <si>
    <t>울주</t>
  </si>
  <si>
    <t>쳥량</t>
  </si>
  <si>
    <t>덕하</t>
  </si>
  <si>
    <t>한솔그린빌</t>
  </si>
  <si>
    <t>웅천</t>
  </si>
  <si>
    <t>대복</t>
  </si>
  <si>
    <t>21~61</t>
  </si>
  <si>
    <t>29~48</t>
  </si>
  <si>
    <t>17,23</t>
  </si>
  <si>
    <t>34,48</t>
  </si>
  <si>
    <t>19~33</t>
  </si>
  <si>
    <t>28,33,36</t>
  </si>
  <si>
    <t>24,28,31</t>
  </si>
  <si>
    <t>27,28,35,42,48,58</t>
  </si>
  <si>
    <t>34,39,47,52</t>
  </si>
  <si>
    <t>24,31,34,42</t>
  </si>
  <si>
    <t>27,31,44,57</t>
  </si>
  <si>
    <t>36,46</t>
  </si>
  <si>
    <t>21,25,31,35</t>
  </si>
  <si>
    <t>23~36</t>
  </si>
  <si>
    <t>30,36,45</t>
  </si>
  <si>
    <t>34,35,45</t>
  </si>
  <si>
    <t>26,31</t>
  </si>
  <si>
    <t>13,35,37,47</t>
  </si>
  <si>
    <t>34,70,52,64</t>
  </si>
  <si>
    <t>31~60</t>
  </si>
  <si>
    <t>33~48</t>
  </si>
  <si>
    <t>24,35,42,49,58,62</t>
  </si>
  <si>
    <t>23,33,39,44,58</t>
  </si>
  <si>
    <t>23,33,40,44,58</t>
  </si>
  <si>
    <t>38,43,67</t>
  </si>
  <si>
    <t>34,35,39,47,48,55</t>
  </si>
  <si>
    <t>33,40,43,46</t>
  </si>
  <si>
    <t>33,38,43</t>
  </si>
  <si>
    <t>23,33,38</t>
  </si>
  <si>
    <t>23,33,40,45,59</t>
  </si>
  <si>
    <t>34,35,40,41,50,68</t>
  </si>
  <si>
    <t>24,34,39</t>
  </si>
  <si>
    <t>25,33,38</t>
  </si>
  <si>
    <t>35,39,46,50,41,54,56,57</t>
  </si>
  <si>
    <t>33,34,39,40,41,42,54</t>
  </si>
  <si>
    <t>34,38,43</t>
  </si>
  <si>
    <t>23,24,33</t>
  </si>
  <si>
    <t>34,35,39,46,49</t>
  </si>
  <si>
    <t>34.35.39.40.41.42.45.46.47.50.52.57.64.65.81</t>
  </si>
  <si>
    <t>24,25,34</t>
  </si>
  <si>
    <t>33,41,47,54</t>
  </si>
  <si>
    <t>39,43,44,51</t>
  </si>
  <si>
    <t>25,34,35,36</t>
  </si>
  <si>
    <t>28~32</t>
  </si>
  <si>
    <t>26~39</t>
  </si>
  <si>
    <t>23~34</t>
  </si>
  <si>
    <t>15,17</t>
  </si>
  <si>
    <t>34,45,53</t>
  </si>
  <si>
    <t>32,37,38</t>
  </si>
  <si>
    <t>27,34,49,53</t>
  </si>
  <si>
    <t>39,47,55,64</t>
  </si>
  <si>
    <t>34,43,50,56,66</t>
  </si>
  <si>
    <t>34-~64</t>
  </si>
  <si>
    <t>43,44,52</t>
  </si>
  <si>
    <t>24~46</t>
  </si>
  <si>
    <t>48~107</t>
  </si>
  <si>
    <t>32,39</t>
  </si>
  <si>
    <t>9~42</t>
  </si>
  <si>
    <t>22~93</t>
  </si>
  <si>
    <t>33,42,47</t>
  </si>
  <si>
    <t>28,31,34</t>
  </si>
  <si>
    <t>24,30,34,46</t>
  </si>
  <si>
    <t>32,35,47</t>
  </si>
  <si>
    <t>34,35,47,48,50,54</t>
  </si>
  <si>
    <t>33,42</t>
  </si>
  <si>
    <t>19,25,33</t>
  </si>
  <si>
    <t>25,33,34</t>
  </si>
  <si>
    <t>24,32,33</t>
  </si>
  <si>
    <t>34,37,54</t>
  </si>
  <si>
    <t>38,40,46,47,48,49,50,51,55</t>
  </si>
  <si>
    <t>26,36</t>
  </si>
  <si>
    <t>24~60</t>
  </si>
  <si>
    <t>33,34,36,40,47,49,65,68</t>
  </si>
  <si>
    <t>17~39</t>
  </si>
  <si>
    <t>17,22,25,26,29,33,34</t>
  </si>
  <si>
    <t>31,35,36,57</t>
  </si>
  <si>
    <t>25,26,28,31,34</t>
  </si>
  <si>
    <t>16,20,24</t>
  </si>
  <si>
    <t>25,31,34</t>
  </si>
  <si>
    <t>22~43</t>
  </si>
  <si>
    <t>33~54</t>
  </si>
  <si>
    <t>20~30</t>
  </si>
  <si>
    <t>34,49</t>
  </si>
  <si>
    <t>27~34</t>
  </si>
  <si>
    <t>20,24</t>
  </si>
  <si>
    <t>28,29,34,40</t>
  </si>
  <si>
    <t>25,31</t>
  </si>
  <si>
    <t>18,21,25,31</t>
  </si>
  <si>
    <t>33,37,54</t>
  </si>
  <si>
    <t>24,30,34</t>
  </si>
  <si>
    <t>24,27,29</t>
  </si>
  <si>
    <t>20,24,32</t>
  </si>
  <si>
    <t>11,14</t>
  </si>
  <si>
    <t>24,31,37</t>
  </si>
  <si>
    <t>인천송도센트럴파크1</t>
    <phoneticPr fontId="2" type="noConversion"/>
  </si>
  <si>
    <t>호반써밋그랜드파크3단지</t>
    <phoneticPr fontId="2" type="noConversion"/>
  </si>
  <si>
    <t>청주사천푸르지오아파트</t>
    <phoneticPr fontId="2" type="noConversion"/>
  </si>
  <si>
    <t>12/6~</t>
    <phoneticPr fontId="2" type="noConversion"/>
  </si>
  <si>
    <t>12/22~</t>
    <phoneticPr fontId="2" type="noConversion"/>
  </si>
  <si>
    <t>12/16~</t>
    <phoneticPr fontId="2" type="noConversion"/>
  </si>
  <si>
    <t>12/19~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</si>
</sst>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3" fontId="8" fillId="8" borderId="12" xfId="1" applyNumberFormat="1" applyFont="1" applyFill="1" applyBorder="1" applyAlignment="1">
      <alignment horizontal="center" vertical="center" shrinkToFit="1"/>
    </xf>
    <xf numFmtId="41" fontId="9" fillId="0" borderId="12" xfId="1" applyFont="1" applyFill="1" applyBorder="1" applyAlignment="1">
      <alignment horizontal="right" vertical="center"/>
    </xf>
    <xf numFmtId="0" fontId="11" fillId="0" borderId="0" xfId="0" applyFont="1">
      <alignment vertical="center"/>
    </xf>
    <xf numFmtId="0" fontId="9" fillId="0" borderId="12" xfId="0" applyFont="1" applyBorder="1" applyAlignment="1">
      <alignment horizontal="left" vertical="center" shrinkToFit="1"/>
    </xf>
    <xf numFmtId="41" fontId="9" fillId="9" borderId="12" xfId="1" applyFont="1" applyFill="1" applyBorder="1" applyAlignment="1">
      <alignment horizontal="right" vertical="center"/>
    </xf>
    <xf numFmtId="3" fontId="0" fillId="0" borderId="0" xfId="0" pivotButton="1" applyNumberFormat="1" applyAlignment="1">
      <alignment horizontal="center" vertical="center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41" fontId="9" fillId="9" borderId="12" xfId="1" applyFont="1" applyFill="1" applyBorder="1" applyAlignment="1">
      <alignment horizontal="center" vertical="center"/>
    </xf>
    <xf numFmtId="41" fontId="8" fillId="9" borderId="12" xfId="1" applyFont="1" applyFill="1" applyBorder="1" applyAlignment="1">
      <alignment horizontal="right" vertical="center"/>
    </xf>
    <xf numFmtId="0" fontId="8" fillId="0" borderId="12" xfId="0" applyFont="1" applyBorder="1" applyAlignment="1">
      <alignment horizontal="left" vertical="center"/>
    </xf>
    <xf numFmtId="41" fontId="8" fillId="0" borderId="1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250819001" refreshedDate="45986.747875347224" createdVersion="6" refreshedVersion="8" minRefreshableVersion="3" recordCount="355" xr:uid="{00000000-000A-0000-FFFF-FFFF07000000}">
  <cacheSource type="worksheet">
    <worksheetSource ref="B7:O362" sheet="만첨리스트"/>
  </cacheSource>
  <cacheFields count="14">
    <cacheField name="구분" numFmtId="0">
      <sharedItems/>
    </cacheField>
    <cacheField name="단지수" numFmtId="41">
      <sharedItems containsSemiMixedTypes="0" containsString="0" containsNumber="1" containsInteger="1" minValue="1" maxValue="1"/>
    </cacheField>
    <cacheField name="단지명" numFmtId="0">
      <sharedItems/>
    </cacheField>
    <cacheField name="입주년도" numFmtId="0">
      <sharedItems containsMixedTypes="1" containsNumber="1" containsInteger="1" minValue="1982" maxValue="2023"/>
    </cacheField>
    <cacheField name="지역1" numFmtId="0">
      <sharedItems count="15">
        <s v="서울"/>
        <s v="경기"/>
        <s v="인천"/>
        <s v="강원"/>
        <s v="대전"/>
        <s v="세종"/>
        <s v="충남"/>
        <s v="충북"/>
        <s v="광주"/>
        <s v="전북"/>
        <s v="대구"/>
        <s v="경북"/>
        <s v="부산"/>
        <s v="경남"/>
        <s v="울산"/>
      </sharedItems>
    </cacheField>
    <cacheField name="지역2" numFmtId="0">
      <sharedItems/>
    </cacheField>
    <cacheField name="지역3(법정)" numFmtId="0">
      <sharedItems/>
    </cacheField>
    <cacheField name="지역4(행정)" numFmtId="0">
      <sharedItems/>
    </cacheField>
    <cacheField name="가동수량" numFmtId="3">
      <sharedItems containsSemiMixedTypes="0" containsString="0" containsNumber="1" containsInteger="1" minValue="3" maxValue="114"/>
    </cacheField>
    <cacheField name="만첨여부" numFmtId="3">
      <sharedItems/>
    </cacheField>
    <cacheField name="로컬광고 가능시점" numFmtId="3">
      <sharedItems/>
    </cacheField>
    <cacheField name="평형" numFmtId="0">
      <sharedItems containsMixedTypes="1" containsNumber="1" containsInteger="1" minValue="14" maxValue="124"/>
    </cacheField>
    <cacheField name="세대수" numFmtId="41">
      <sharedItems containsSemiMixedTypes="0" containsString="0" containsNumber="1" containsInteger="1" minValue="0" maxValue="3958"/>
    </cacheField>
    <cacheField name="비고(광고불가항목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s v="아파트"/>
    <n v="1"/>
    <s v="양천목동하이페리온"/>
    <n v="2003"/>
    <x v="0"/>
    <s v="양천"/>
    <s v="목"/>
    <s v="목1"/>
    <n v="22"/>
    <s v="O"/>
    <s v="12/1~"/>
    <s v="56,62,63,64,68"/>
    <n v="862"/>
    <m/>
  </r>
  <r>
    <s v="아파트"/>
    <n v="1"/>
    <s v="송파가락쌍용1차"/>
    <n v="1997"/>
    <x v="0"/>
    <s v="송파"/>
    <s v="가락"/>
    <s v="가락2"/>
    <n v="49"/>
    <s v="O"/>
    <s v="11/29~"/>
    <s v="27,36"/>
    <n v="2064"/>
    <s v="게임광고 불가"/>
  </r>
  <r>
    <s v="아파트"/>
    <n v="1"/>
    <s v="목동트라팰리스"/>
    <n v="2009"/>
    <x v="0"/>
    <s v="양천"/>
    <s v="목"/>
    <s v="목1"/>
    <n v="12"/>
    <s v="O"/>
    <s v="12/1~"/>
    <s v="40,98,114"/>
    <n v="522"/>
    <m/>
  </r>
  <r>
    <s v="아파트"/>
    <n v="1"/>
    <s v="양천목동13단지"/>
    <n v="1987"/>
    <x v="0"/>
    <s v="양천"/>
    <s v="신정"/>
    <s v="신정6"/>
    <n v="42"/>
    <s v="O"/>
    <s v="12/1~"/>
    <s v="20,27,35,45,55"/>
    <n v="2280"/>
    <m/>
  </r>
  <r>
    <s v="아파트"/>
    <n v="1"/>
    <s v="양천목동대원칸타빌2"/>
    <n v="2003"/>
    <x v="0"/>
    <s v="양천"/>
    <s v="목"/>
    <s v="목4"/>
    <n v="18"/>
    <s v="O"/>
    <s v="11/26~"/>
    <s v="26~69"/>
    <n v="511"/>
    <m/>
  </r>
  <r>
    <s v="아파트"/>
    <n v="1"/>
    <s v="강동고덕아이파크"/>
    <n v="2011"/>
    <x v="0"/>
    <s v="강동"/>
    <s v="고덕"/>
    <s v="고덕제1"/>
    <n v="35"/>
    <s v="O"/>
    <s v="11/29~"/>
    <s v="25~65"/>
    <n v="1142"/>
    <m/>
  </r>
  <r>
    <s v="아파트"/>
    <n v="1"/>
    <s v="양천목동힐스테이트"/>
    <n v="2016"/>
    <x v="0"/>
    <s v="양천"/>
    <s v="신정"/>
    <s v="신정1동"/>
    <n v="30"/>
    <s v="O"/>
    <s v="11/29~"/>
    <s v="23~60"/>
    <n v="1081"/>
    <m/>
  </r>
  <r>
    <s v="아파트"/>
    <n v="1"/>
    <s v="양천목동12단지"/>
    <n v="1988"/>
    <x v="0"/>
    <s v="양천"/>
    <s v="신정"/>
    <s v="신정7"/>
    <n v="24"/>
    <s v="O"/>
    <s v="11/29~"/>
    <s v="19~27"/>
    <n v="1860"/>
    <m/>
  </r>
  <r>
    <s v="주상복합"/>
    <n v="1"/>
    <s v="롯데캐슬엠파이어아파트"/>
    <n v="1992"/>
    <x v="0"/>
    <s v="영등포"/>
    <s v="여의도"/>
    <s v="여의도"/>
    <n v="8"/>
    <s v="O"/>
    <s v="12/1~"/>
    <s v="41~92"/>
    <n v="406"/>
    <m/>
  </r>
  <r>
    <s v="아파트"/>
    <n v="1"/>
    <s v="당산삼성래미안"/>
    <n v="2015"/>
    <x v="0"/>
    <s v="영등포"/>
    <s v="당산동5가"/>
    <s v="당산동5가"/>
    <n v="32"/>
    <s v="O"/>
    <s v="11/29~"/>
    <s v="33,37,43,48,58"/>
    <n v="1391"/>
    <m/>
  </r>
  <r>
    <s v="아파트"/>
    <n v="1"/>
    <s v="서초동원베네스트"/>
    <n v="2002"/>
    <x v="0"/>
    <s v="서초"/>
    <s v="서초"/>
    <s v="서초"/>
    <n v="5"/>
    <s v="O"/>
    <s v="11/27~"/>
    <s v="31,42"/>
    <n v="12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신정양천아파트"/>
    <n v="1995"/>
    <x v="0"/>
    <s v="양천"/>
    <s v="신정"/>
    <s v="신정"/>
    <n v="42"/>
    <s v="O"/>
    <s v="11/29~"/>
    <n v="18"/>
    <n v="299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호반써밋서초파크뷰"/>
    <n v="2013"/>
    <x v="0"/>
    <s v="서초"/>
    <s v="우면"/>
    <s v="우면"/>
    <n v="10"/>
    <s v="O"/>
    <s v="11/29~"/>
    <s v="24,35"/>
    <n v="358"/>
    <s v="온라인(유통) : 쿠팡 , 롯데온 , 마켓컬리 , 오아시스 , B마트(배민은 가능)   //   대형마트 : 홈플러스 / 롯데마트 / 메가마트 / GS슈퍼 / 롯데슈퍼 / 홈플러스익스프레스"/>
  </r>
  <r>
    <s v="주상복합"/>
    <n v="1"/>
    <s v="송파가락두산위브"/>
    <n v="2004"/>
    <x v="0"/>
    <s v="송파"/>
    <s v="가락"/>
    <s v="가락"/>
    <n v="3"/>
    <s v="O"/>
    <s v="11/29~"/>
    <s v="10~19"/>
    <n v="213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화성동탄KCC스위첸"/>
    <n v="2007"/>
    <x v="1"/>
    <s v="화성"/>
    <s v="반송"/>
    <s v="동탄1"/>
    <n v="12"/>
    <s v="O"/>
    <s v="12/1~"/>
    <n v="32"/>
    <n v="484"/>
    <m/>
  </r>
  <r>
    <s v="아파트"/>
    <n v="1"/>
    <s v="판교푸르지오그랑블"/>
    <n v="2011"/>
    <x v="1"/>
    <s v="성남"/>
    <s v="백현"/>
    <s v="백현"/>
    <n v="26"/>
    <s v="O"/>
    <s v="12/1~"/>
    <s v="36~100"/>
    <n v="948"/>
    <m/>
  </r>
  <r>
    <s v="아파트"/>
    <n v="1"/>
    <s v="남양주경남아너스빌"/>
    <n v="2005"/>
    <x v="1"/>
    <s v="남양주"/>
    <s v="다산"/>
    <s v="다산"/>
    <n v="19"/>
    <s v="O"/>
    <s v="11/29~"/>
    <s v="29,33"/>
    <n v="495"/>
    <m/>
  </r>
  <r>
    <s v="아파트"/>
    <n v="1"/>
    <s v="인창주공2단지"/>
    <n v="2020"/>
    <x v="1"/>
    <s v="구리"/>
    <s v="인창"/>
    <s v="인창"/>
    <n v="28"/>
    <s v="O"/>
    <s v="11/29~"/>
    <s v="17,21,32"/>
    <n v="1229"/>
    <m/>
  </r>
  <r>
    <s v="아파트"/>
    <n v="1"/>
    <s v="남양뉴타운lh20단지"/>
    <s v="-"/>
    <x v="1"/>
    <s v="화성"/>
    <s v="남양"/>
    <s v="남양"/>
    <n v="30"/>
    <s v="O"/>
    <s v="11/27~"/>
    <s v="17,21"/>
    <n v="1778"/>
    <m/>
  </r>
  <r>
    <s v="아파트"/>
    <n v="1"/>
    <s v="매탄위브하늘채"/>
    <n v="2017"/>
    <x v="1"/>
    <s v="수원"/>
    <s v="영통"/>
    <s v="매탄"/>
    <n v="72"/>
    <s v="O"/>
    <s v="12/1~"/>
    <s v="24,29,32,33,39,47"/>
    <n v="3391"/>
    <m/>
  </r>
  <r>
    <s v="아파트"/>
    <n v="1"/>
    <s v="서봉마을모아엘가아파트"/>
    <n v="2018"/>
    <x v="1"/>
    <s v="화성"/>
    <s v="향남"/>
    <s v="하길"/>
    <n v="12"/>
    <s v="O"/>
    <s v="11/27~"/>
    <s v="29,33"/>
    <n v="496"/>
    <m/>
  </r>
  <r>
    <s v="아파트"/>
    <n v="1"/>
    <s v="DMC자이더리버"/>
    <n v="1993"/>
    <x v="1"/>
    <s v="고양"/>
    <s v="덕양"/>
    <s v="덕은"/>
    <n v="18"/>
    <s v="O"/>
    <s v="11/27~"/>
    <s v="평형X"/>
    <n v="702"/>
    <m/>
  </r>
  <r>
    <s v="아파트"/>
    <n v="1"/>
    <s v="병점역아이파크캐슬"/>
    <s v="-"/>
    <x v="1"/>
    <s v="화성"/>
    <s v="병점"/>
    <s v="병점"/>
    <n v="75"/>
    <s v="O"/>
    <s v="11/29~"/>
    <s v="23~53"/>
    <n v="2666"/>
    <m/>
  </r>
  <r>
    <s v="오피스텔"/>
    <n v="1"/>
    <s v="분당두산위브파빌리온오피스텔"/>
    <n v="2014"/>
    <x v="1"/>
    <s v="성남"/>
    <s v="분당"/>
    <s v="정자"/>
    <n v="20"/>
    <s v="O"/>
    <s v="12/1~"/>
    <s v="22,24,31,34,38,39,42,43,45,57,58,62"/>
    <n v="1519"/>
    <m/>
  </r>
  <r>
    <s v="아파트"/>
    <n v="1"/>
    <s v="다산한양수자인리버파크"/>
    <n v="2019"/>
    <x v="1"/>
    <s v="남양주"/>
    <s v="다산"/>
    <s v="다산"/>
    <n v="11"/>
    <s v="O"/>
    <s v="11/29~"/>
    <s v="37,42"/>
    <n v="291"/>
    <m/>
  </r>
  <r>
    <s v="아파트"/>
    <n v="1"/>
    <s v="수원정자두견벽산3차"/>
    <n v="2000"/>
    <x v="1"/>
    <s v="수원"/>
    <s v="정자"/>
    <s v="정자"/>
    <n v="11"/>
    <s v="O"/>
    <s v="11/27~"/>
    <s v="38,50"/>
    <n v="389"/>
    <s v="온라인(유통) : 쿠팡 , 롯데온 , 마켓컬리 , 오아시스 , B마트(배민은 가능)   //   대형마트 : 홈플러스 / 롯데마트 / 메가마트 / GS슈퍼 / 롯데슈퍼 / 홈플러스익스프레스"/>
  </r>
  <r>
    <s v="주상복합"/>
    <n v="1"/>
    <s v="부천중동리첸시아"/>
    <n v="2012"/>
    <x v="1"/>
    <s v="부천"/>
    <s v="중"/>
    <s v="중"/>
    <n v="12"/>
    <s v="O"/>
    <s v="11/27~"/>
    <s v="48~104"/>
    <n v="57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수원화서블루밍푸른숲"/>
    <n v="2009"/>
    <x v="1"/>
    <s v="수원"/>
    <s v="화서"/>
    <s v="화서"/>
    <n v="59"/>
    <s v="O"/>
    <s v="11/27~"/>
    <s v="25~45"/>
    <n v="174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김포현대힐스테이트1"/>
    <n v="2008"/>
    <x v="1"/>
    <s v="김포"/>
    <s v="고촌"/>
    <s v="신곡"/>
    <n v="46"/>
    <s v="O"/>
    <s v="11/27~"/>
    <s v="34~49"/>
    <n v="1253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오산대우"/>
    <n v="1993"/>
    <x v="1"/>
    <s v="오산"/>
    <s v="수청"/>
    <s v="수청"/>
    <n v="29"/>
    <s v="O"/>
    <s v="11/27~"/>
    <s v="13~36"/>
    <n v="114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오산운암주공4"/>
    <n v="2000"/>
    <x v="1"/>
    <s v="오산"/>
    <s v="오산"/>
    <s v="오산"/>
    <n v="14"/>
    <s v="O"/>
    <s v="11/29~"/>
    <n v="30"/>
    <n v="53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오산원동태영"/>
    <n v="1996"/>
    <x v="1"/>
    <s v="오산"/>
    <s v="원동"/>
    <s v="원동"/>
    <n v="13"/>
    <s v="O"/>
    <s v="11/27~"/>
    <s v="24,32"/>
    <n v="489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화성동화마을휴먼시아5"/>
    <n v="2008"/>
    <x v="1"/>
    <s v="화성"/>
    <s v="봉담"/>
    <s v="동화"/>
    <n v="19"/>
    <s v="O"/>
    <s v="11/26~"/>
    <s v="29~33"/>
    <n v="88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이천설봉2차푸르지오"/>
    <n v="2011"/>
    <x v="1"/>
    <s v="이천"/>
    <s v="증포"/>
    <s v="증포"/>
    <n v="12"/>
    <s v="O"/>
    <s v="11/27~"/>
    <s v="33,46,52"/>
    <n v="34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남양주다산금강펜테리움"/>
    <n v="2019"/>
    <x v="1"/>
    <s v="남양주"/>
    <s v="다산"/>
    <s v="다산"/>
    <n v="28"/>
    <s v="O"/>
    <s v="11/27~"/>
    <s v="31,33"/>
    <n v="130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동탄역시범리슈빌"/>
    <n v="2015"/>
    <x v="1"/>
    <s v="화성"/>
    <s v="청계"/>
    <s v="청계"/>
    <n v="24"/>
    <s v="O"/>
    <s v="11/27~"/>
    <s v="33~40"/>
    <n v="65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다산자이아이비플레이스"/>
    <n v="2021"/>
    <x v="1"/>
    <s v="남양주"/>
    <s v="다산"/>
    <s v="다산"/>
    <n v="25"/>
    <s v="O"/>
    <s v="11/29~"/>
    <s v="33~43"/>
    <n v="96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매탄레이크파크"/>
    <n v="1999"/>
    <x v="1"/>
    <s v="수원"/>
    <s v="매탄"/>
    <s v="매탄"/>
    <n v="16"/>
    <s v="O"/>
    <s v="11/27~"/>
    <s v="22,24"/>
    <n v="70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인천청라한라비발디"/>
    <n v="2011"/>
    <x v="2"/>
    <s v="서"/>
    <s v="경서"/>
    <s v="청라2"/>
    <n v="24"/>
    <s v="O"/>
    <s v="11/28~"/>
    <s v="39~44"/>
    <n v="992"/>
    <m/>
  </r>
  <r>
    <s v="아파트"/>
    <n v="1"/>
    <s v="인천송도센트럴파크1"/>
    <n v="2011"/>
    <x v="2"/>
    <s v="연수"/>
    <s v="송도"/>
    <s v="송도2"/>
    <n v="18"/>
    <s v="O"/>
    <s v="12/1~"/>
    <s v="31~114"/>
    <n v="729"/>
    <m/>
  </r>
  <r>
    <s v="오피스텔"/>
    <n v="1"/>
    <s v="인천송도퍼스트월드of"/>
    <n v="2000"/>
    <x v="2"/>
    <s v="연수"/>
    <s v="송도"/>
    <s v="송도1"/>
    <n v="20"/>
    <s v="O"/>
    <s v="11/29~"/>
    <s v="21~61"/>
    <n v="1058"/>
    <m/>
  </r>
  <r>
    <s v="아파트"/>
    <n v="1"/>
    <s v="인천송도센트럴파크2"/>
    <n v="2011"/>
    <x v="2"/>
    <s v="연수"/>
    <s v="송도"/>
    <s v="송도2"/>
    <n v="13"/>
    <s v="O"/>
    <s v="11/29~"/>
    <s v="29~121"/>
    <n v="632"/>
    <m/>
  </r>
  <r>
    <s v="아파트"/>
    <n v="1"/>
    <s v="송도더샵센트럴시티"/>
    <n v="2018"/>
    <x v="2"/>
    <s v="연수"/>
    <s v="송도"/>
    <s v="송도"/>
    <n v="53"/>
    <s v="O"/>
    <s v="12/1~"/>
    <s v="25~73"/>
    <n v="2610"/>
    <m/>
  </r>
  <r>
    <s v="아파트"/>
    <n v="1"/>
    <s v="e편한세상영종국제도시"/>
    <n v="2018"/>
    <x v="2"/>
    <s v="중"/>
    <s v="중산"/>
    <s v="중산"/>
    <n v="37"/>
    <s v="O"/>
    <s v="12/1~"/>
    <s v="29~33"/>
    <n v="1520"/>
    <m/>
  </r>
  <r>
    <s v="아파트"/>
    <n v="1"/>
    <s v="더샵송도마리나베이"/>
    <n v="1994"/>
    <x v="2"/>
    <s v="연수"/>
    <s v="송도"/>
    <s v="송도"/>
    <n v="98"/>
    <s v="O"/>
    <s v="11/29~"/>
    <s v="29~48"/>
    <n v="3100"/>
    <m/>
  </r>
  <r>
    <s v="아파트"/>
    <n v="1"/>
    <s v="논현한화에코메트로6단지"/>
    <n v="2000"/>
    <x v="2"/>
    <s v="남동"/>
    <s v="논현"/>
    <s v="논현"/>
    <n v="15"/>
    <s v="O"/>
    <s v="12/1~"/>
    <n v="34"/>
    <n v="960"/>
    <m/>
  </r>
  <r>
    <s v="아파트"/>
    <n v="1"/>
    <s v="송도더샵파크F13-1블럭"/>
    <n v="2022"/>
    <x v="2"/>
    <s v="연수"/>
    <s v="송도"/>
    <s v="송도"/>
    <n v="21"/>
    <s v="O"/>
    <s v="11/29~"/>
    <s v="29~43"/>
    <n v="856"/>
    <m/>
  </r>
  <r>
    <s v="아파트"/>
    <n v="1"/>
    <s v="송도파크레인동일하이빌아파트"/>
    <n v="2005"/>
    <x v="2"/>
    <s v="연수"/>
    <s v="동춘"/>
    <s v="동춘"/>
    <n v="25"/>
    <s v="O"/>
    <s v="12/1~"/>
    <s v="29,31,34,37"/>
    <n v="1180"/>
    <m/>
  </r>
  <r>
    <s v="아파트"/>
    <n v="1"/>
    <s v="검단신도시우미린더시그니처"/>
    <n v="2011"/>
    <x v="2"/>
    <s v="서"/>
    <s v="원당"/>
    <s v="원당"/>
    <n v="28"/>
    <s v="O"/>
    <s v="12/1~"/>
    <s v="30,34"/>
    <n v="1268"/>
    <m/>
  </r>
  <r>
    <s v="아파트"/>
    <n v="1"/>
    <s v="루원시티SK리더스뷰"/>
    <n v="2010"/>
    <x v="2"/>
    <s v="서"/>
    <s v="가정"/>
    <s v="가정"/>
    <n v="52"/>
    <s v="O"/>
    <s v="11/29~"/>
    <s v="30,33,34,40"/>
    <n v="2378"/>
    <m/>
  </r>
  <r>
    <s v="아파트"/>
    <n v="1"/>
    <s v="검단신도시디에트르리버파크"/>
    <n v="2022"/>
    <x v="2"/>
    <s v="서"/>
    <s v="원당"/>
    <s v="원당"/>
    <n v="15"/>
    <s v="O"/>
    <s v="11/28~"/>
    <s v="25,33"/>
    <n v="722"/>
    <m/>
  </r>
  <r>
    <s v="아파트"/>
    <n v="1"/>
    <s v="검단신도시예미지트리플에듀아파트"/>
    <n v="2015"/>
    <x v="2"/>
    <s v="서"/>
    <s v="원당"/>
    <s v="원당"/>
    <n v="30"/>
    <s v="O"/>
    <s v="12/1~"/>
    <s v="31,33,37,39"/>
    <n v="1249"/>
    <m/>
  </r>
  <r>
    <s v="아파트"/>
    <n v="1"/>
    <s v="송도더샵그린워크3차18-1BL"/>
    <n v="2016"/>
    <x v="2"/>
    <s v="연수"/>
    <s v="송도"/>
    <s v="송도"/>
    <n v="15"/>
    <s v="O"/>
    <s v="12/1~"/>
    <s v="33,34,39,45,46"/>
    <n v="780"/>
    <m/>
  </r>
  <r>
    <s v="아파트"/>
    <n v="1"/>
    <s v="검단LH13단지"/>
    <n v="2019"/>
    <x v="2"/>
    <s v="서"/>
    <s v="서"/>
    <s v="당하"/>
    <n v="17"/>
    <s v="O"/>
    <s v="12/1~"/>
    <s v="26,"/>
    <n v="1000"/>
    <m/>
  </r>
  <r>
    <s v="아파트"/>
    <n v="1"/>
    <s v="더샵송도센트럴파크3차"/>
    <n v="2003"/>
    <x v="2"/>
    <s v="연수"/>
    <s v="인천"/>
    <s v="송도"/>
    <n v="10"/>
    <s v="O"/>
    <s v="11/29~"/>
    <s v="34,42,46,50,71,72,81,84"/>
    <n v="351"/>
    <m/>
  </r>
  <r>
    <s v="아파트"/>
    <n v="1"/>
    <s v="영종한라비발디"/>
    <n v="1996"/>
    <x v="2"/>
    <s v="중"/>
    <s v="하늘별빛"/>
    <s v="중산"/>
    <n v="22"/>
    <s v="O"/>
    <s v="12/1~"/>
    <s v="38,43,52,70,77"/>
    <n v="1365"/>
    <m/>
  </r>
  <r>
    <s v="아파트"/>
    <n v="1"/>
    <s v="영종한신더휴스카이파크"/>
    <n v="2019"/>
    <x v="2"/>
    <s v="중"/>
    <s v="중산"/>
    <s v="중산"/>
    <n v="12"/>
    <s v="O"/>
    <s v="11/27~"/>
    <n v="24"/>
    <n v="56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e편한세상시티인하대역"/>
    <n v="2020"/>
    <x v="2"/>
    <s v="미추홀"/>
    <s v="용현"/>
    <s v="용현"/>
    <n v="16"/>
    <s v="O"/>
    <s v="12/1~"/>
    <s v="13~50"/>
    <n v="84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주안파크자이더플래티넘"/>
    <n v="1989"/>
    <x v="2"/>
    <s v="미추홀"/>
    <s v="주안"/>
    <s v="주안"/>
    <n v="42"/>
    <s v="O"/>
    <s v="11/29~"/>
    <s v="17,19,25,29,30,33"/>
    <n v="2054"/>
    <m/>
  </r>
  <r>
    <s v="아파트"/>
    <n v="1"/>
    <s v="검단신도시파라곤보타닉파크아파트"/>
    <n v="2022"/>
    <x v="2"/>
    <s v="서"/>
    <s v="원당"/>
    <s v="원당"/>
    <n v="23"/>
    <s v="O"/>
    <s v="12/1~"/>
    <n v="34"/>
    <n v="887"/>
    <m/>
  </r>
  <r>
    <s v="아파트"/>
    <n v="1"/>
    <s v="관교한신휴플러스"/>
    <n v="2010"/>
    <x v="2"/>
    <s v="미추홀"/>
    <s v="주안"/>
    <s v="주안"/>
    <n v="43"/>
    <s v="O"/>
    <s v="11/28~"/>
    <s v="20,24,33,34,45"/>
    <n v="1509"/>
    <m/>
  </r>
  <r>
    <s v="아파트"/>
    <n v="1"/>
    <s v="힐스테이트푸르지오주안"/>
    <n v="2023"/>
    <x v="2"/>
    <s v="미추홀"/>
    <s v="주안"/>
    <s v="주안"/>
    <n v="69"/>
    <s v="O"/>
    <s v="11/29~"/>
    <s v="19,22,24,26,30,34,37"/>
    <n v="2958"/>
    <m/>
  </r>
  <r>
    <s v="아파트"/>
    <n v="1"/>
    <s v="태장2주공아파트"/>
    <n v="1997"/>
    <x v="3"/>
    <s v="원주"/>
    <s v="태장"/>
    <s v="태장"/>
    <n v="16"/>
    <s v="O"/>
    <s v="11/26~"/>
    <s v="17,23"/>
    <n v="525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대전열매마을4단지"/>
    <n v="2001"/>
    <x v="4"/>
    <s v="유성"/>
    <s v="지족"/>
    <s v="노은2"/>
    <n v="29"/>
    <s v="O"/>
    <s v="11/29~"/>
    <n v="26"/>
    <n v="1084"/>
    <m/>
  </r>
  <r>
    <s v="아파트"/>
    <n v="1"/>
    <s v="대전중구금호어울림"/>
    <n v="2004"/>
    <x v="4"/>
    <s v="중"/>
    <s v="문화"/>
    <s v="문화1"/>
    <n v="20"/>
    <s v="O"/>
    <s v="11/29~"/>
    <s v="34,48"/>
    <n v="544"/>
    <m/>
  </r>
  <r>
    <s v="아파트"/>
    <n v="1"/>
    <s v="e편한세상대전에코포레"/>
    <n v="2001"/>
    <x v="4"/>
    <s v="동"/>
    <s v="용운"/>
    <s v="용운"/>
    <n v="50"/>
    <s v="O"/>
    <s v="11/29~"/>
    <s v="19~33"/>
    <n v="2267"/>
    <m/>
  </r>
  <r>
    <s v="아파트"/>
    <n v="1"/>
    <s v="대전아이파크1단지"/>
    <n v="1992"/>
    <x v="4"/>
    <s v="유성"/>
    <s v="상대"/>
    <s v="상대"/>
    <n v="29"/>
    <s v="O"/>
    <s v="12/1~"/>
    <s v="33,40"/>
    <n v="1254"/>
    <m/>
  </r>
  <r>
    <s v="아파트"/>
    <n v="1"/>
    <s v="한마루삼성아파트"/>
    <n v="2016"/>
    <x v="4"/>
    <s v="서"/>
    <s v="둔산"/>
    <s v="둔산"/>
    <n v="24"/>
    <s v="O"/>
    <s v="11/28~"/>
    <s v="28,33,36"/>
    <n v="700"/>
    <m/>
  </r>
  <r>
    <s v="아파트"/>
    <n v="1"/>
    <s v="유진하나아파트"/>
    <n v="2007"/>
    <x v="4"/>
    <s v="중"/>
    <s v="유천"/>
    <s v="유천"/>
    <n v="5"/>
    <s v="O"/>
    <s v="12/1~"/>
    <s v="24,28,31"/>
    <n v="234"/>
    <m/>
  </r>
  <r>
    <s v="아파트"/>
    <n v="1"/>
    <s v="도안18단지린풀하우스"/>
    <n v="1999"/>
    <x v="4"/>
    <s v="서"/>
    <s v="도안"/>
    <s v="도안"/>
    <n v="34"/>
    <s v="O"/>
    <s v="12/1~"/>
    <s v="28~34"/>
    <n v="1691"/>
    <m/>
  </r>
  <r>
    <s v="아파트"/>
    <n v="1"/>
    <s v="도안예미지7단지"/>
    <n v="2014"/>
    <x v="4"/>
    <s v="유성"/>
    <s v="봉명"/>
    <s v="봉명"/>
    <n v="24"/>
    <s v="O"/>
    <s v="12/1~"/>
    <n v="35"/>
    <n v="1102"/>
    <m/>
  </r>
  <r>
    <s v="아파트"/>
    <n v="1"/>
    <s v="용운마젤란21아파트"/>
    <n v="2016"/>
    <x v="4"/>
    <s v="동"/>
    <s v="용운"/>
    <s v="용운"/>
    <n v="7"/>
    <s v="O"/>
    <s v="12/1~"/>
    <n v="33"/>
    <n v="210"/>
    <m/>
  </r>
  <r>
    <s v="아파트"/>
    <n v="1"/>
    <s v="어울림하트"/>
    <n v="2018"/>
    <x v="4"/>
    <s v="유성"/>
    <s v="원신흥"/>
    <s v="원신흥"/>
    <n v="26"/>
    <s v="O"/>
    <s v="12/1~"/>
    <s v="30,34"/>
    <n v="1056"/>
    <m/>
  </r>
  <r>
    <s v="아파트"/>
    <n v="1"/>
    <s v="태평아파트"/>
    <n v="2015"/>
    <x v="4"/>
    <s v="중"/>
    <s v="태평"/>
    <s v="태평"/>
    <n v="29"/>
    <s v="O"/>
    <s v="12/1~"/>
    <s v="23,28,31,41"/>
    <n v="1214"/>
    <m/>
  </r>
  <r>
    <s v="아파트"/>
    <n v="1"/>
    <s v="금강엑슬루타워아파트"/>
    <n v="2022"/>
    <x v="4"/>
    <s v="대덕"/>
    <s v="석봉"/>
    <s v="석봉"/>
    <n v="48"/>
    <s v="O"/>
    <s v="11/29~"/>
    <s v="27,28,35,42,48,58"/>
    <n v="2312"/>
    <m/>
  </r>
  <r>
    <s v="아파트"/>
    <n v="1"/>
    <s v="도안리슈빌"/>
    <n v="2003"/>
    <x v="4"/>
    <s v="서"/>
    <s v="도안"/>
    <s v="도안"/>
    <n v="19"/>
    <s v="O"/>
    <s v="12/1~"/>
    <s v="29,33,34,36"/>
    <n v="1236"/>
    <m/>
  </r>
  <r>
    <s v="아파트"/>
    <n v="1"/>
    <s v="센트럴파크3단지"/>
    <n v="2006"/>
    <x v="4"/>
    <s v="중"/>
    <s v="문화"/>
    <s v="문화"/>
    <n v="19"/>
    <s v="O"/>
    <s v="11/29~"/>
    <s v="34,39,47,52"/>
    <n v="753"/>
    <m/>
  </r>
  <r>
    <s v="아파트"/>
    <n v="1"/>
    <s v="도안13블럭금성백조예미지"/>
    <n v="1998"/>
    <x v="4"/>
    <s v="서"/>
    <s v="도안"/>
    <s v="도안"/>
    <n v="17"/>
    <s v="O"/>
    <s v="12/1~"/>
    <n v="35"/>
    <n v="645"/>
    <m/>
  </r>
  <r>
    <s v="아파트"/>
    <n v="1"/>
    <s v="트리풀시티9단지아파트"/>
    <n v="2022"/>
    <x v="4"/>
    <s v="유성"/>
    <s v="상대"/>
    <s v="상대"/>
    <n v="39"/>
    <s v="O"/>
    <s v="12/1~"/>
    <s v="38,45,52,55,70"/>
    <n v="1828"/>
    <m/>
  </r>
  <r>
    <s v="아파트"/>
    <n v="1"/>
    <s v="호반써밋그랜드파크아파트1BL"/>
    <n v="2022"/>
    <x v="4"/>
    <s v="유성"/>
    <s v="용산"/>
    <s v="용산"/>
    <n v="24"/>
    <s v="O"/>
    <s v="12/1~"/>
    <n v="35"/>
    <n v="1059"/>
    <m/>
  </r>
  <r>
    <s v="아파트"/>
    <n v="1"/>
    <s v="목동올리브힐"/>
    <n v="2015"/>
    <x v="4"/>
    <s v="중"/>
    <s v="목동"/>
    <s v="목동"/>
    <n v="22"/>
    <s v="O"/>
    <s v="12/1~"/>
    <s v="24,31,34,42"/>
    <n v="804"/>
    <m/>
  </r>
  <r>
    <s v="아파트"/>
    <n v="1"/>
    <s v="호반써밋그랜드파크3단지"/>
    <s v="-"/>
    <x v="4"/>
    <s v="유성"/>
    <s v="용산"/>
    <s v="용산"/>
    <n v="14"/>
    <s v="O"/>
    <s v="12/1~"/>
    <n v="35"/>
    <n v="688"/>
    <m/>
  </r>
  <r>
    <s v="아파트"/>
    <n v="1"/>
    <s v="도안베르디움"/>
    <n v="2012"/>
    <x v="4"/>
    <s v="서"/>
    <s v="도안"/>
    <s v="도안"/>
    <n v="26"/>
    <s v="O"/>
    <s v="12/1~"/>
    <s v="33,34"/>
    <n v="957"/>
    <m/>
  </r>
  <r>
    <s v="아파트"/>
    <n v="1"/>
    <s v="둔산청솔아파트"/>
    <n v="2021"/>
    <x v="4"/>
    <s v="서"/>
    <s v="둔산"/>
    <s v="둔산"/>
    <n v="36"/>
    <s v="O"/>
    <s v="11/29~"/>
    <s v="27,31,44,57"/>
    <n v="980"/>
    <m/>
  </r>
  <r>
    <s v="아파트"/>
    <n v="1"/>
    <s v="대전강변"/>
    <n v="2008"/>
    <x v="4"/>
    <s v="서"/>
    <s v="만년"/>
    <s v="만년"/>
    <n v="26"/>
    <s v="O"/>
    <s v="12/1~"/>
    <s v="36,46"/>
    <n v="788"/>
    <m/>
  </r>
  <r>
    <s v="아파트"/>
    <n v="1"/>
    <s v="다온숲3단지"/>
    <n v="2018"/>
    <x v="4"/>
    <s v="서"/>
    <s v="관저"/>
    <s v="관저"/>
    <n v="44"/>
    <s v="O"/>
    <s v="12/1~"/>
    <s v="21,25,31,35"/>
    <n v="1401"/>
    <m/>
  </r>
  <r>
    <s v="아파트"/>
    <n v="1"/>
    <s v="대전법동e편한세상"/>
    <n v="2020"/>
    <x v="4"/>
    <s v="대덕"/>
    <s v="법"/>
    <s v="법"/>
    <n v="36"/>
    <s v="O"/>
    <s v="11/29~"/>
    <s v="25~33"/>
    <n v="1503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대전둔산e편한세상1,2"/>
    <n v="2020"/>
    <x v="4"/>
    <s v="서"/>
    <s v="탄방"/>
    <s v="탄방"/>
    <n v="26"/>
    <s v="O"/>
    <s v="12/1~"/>
    <s v="23~39"/>
    <n v="77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대전선비마을2단지"/>
    <n v="1999"/>
    <x v="4"/>
    <s v="대덕"/>
    <s v="송촌"/>
    <s v="송촌"/>
    <n v="30"/>
    <s v="O"/>
    <s v="11/29~"/>
    <s v="23~36"/>
    <n v="114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관저더샵2차아파트"/>
    <n v="2003"/>
    <x v="4"/>
    <s v="서"/>
    <s v="관저"/>
    <s v="관저"/>
    <n v="21"/>
    <s v="O"/>
    <s v="12/1~"/>
    <s v="30,33,34,40"/>
    <n v="954"/>
    <m/>
  </r>
  <r>
    <s v="아파트"/>
    <n v="1"/>
    <s v="누리아파트"/>
    <n v="1993"/>
    <x v="4"/>
    <s v="서"/>
    <s v="월평"/>
    <s v="월평"/>
    <n v="60"/>
    <s v="O"/>
    <s v="12/1~"/>
    <s v="30,36,45"/>
    <n v="1704"/>
    <m/>
  </r>
  <r>
    <s v="아파트"/>
    <n v="1"/>
    <s v="힐스테이트도안"/>
    <n v="2023"/>
    <x v="4"/>
    <s v="유성"/>
    <s v="용계"/>
    <s v="용계_"/>
    <n v="8"/>
    <s v="O"/>
    <s v="12/1~"/>
    <s v="32,37,48"/>
    <n v="39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이랜드PEER둔산"/>
    <n v="2023"/>
    <x v="4"/>
    <s v="서"/>
    <s v="둔산"/>
    <s v="둔산"/>
    <n v="10"/>
    <s v="O"/>
    <s v="12/1~"/>
    <s v="31,34"/>
    <n v="43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제이파크"/>
    <n v="2005"/>
    <x v="4"/>
    <s v="유성"/>
    <s v="교촌"/>
    <s v="교촌"/>
    <n v="12"/>
    <s v="O"/>
    <s v="11/29~"/>
    <s v="34,35,45"/>
    <n v="405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수정타운"/>
    <n v="1993"/>
    <x v="4"/>
    <s v="서"/>
    <s v="둔산"/>
    <s v="둔산"/>
    <n v="67"/>
    <s v="O"/>
    <s v="12/1~"/>
    <s v="26,31"/>
    <n v="201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트리풀시티5단지아파트"/>
    <n v="2014"/>
    <x v="4"/>
    <s v="유성"/>
    <s v="상대"/>
    <s v="상대"/>
    <n v="33"/>
    <s v="O"/>
    <s v="12/1~"/>
    <n v="34"/>
    <n v="1220"/>
    <m/>
  </r>
  <r>
    <s v="아파트"/>
    <n v="1"/>
    <s v="초록마을2단지"/>
    <n v="2005"/>
    <x v="4"/>
    <s v="서"/>
    <s v="복수"/>
    <s v="복수"/>
    <n v="20"/>
    <s v="O"/>
    <s v="11/29~"/>
    <s v="13,35,37,47"/>
    <n v="70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엑스포아파트"/>
    <n v="1994"/>
    <x v="4"/>
    <s v="유성"/>
    <s v="전민"/>
    <s v="전민"/>
    <n v="114"/>
    <s v="O"/>
    <s v="12/1~"/>
    <s v="32,43,48,56"/>
    <n v="395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대덕테크노밸리12단지"/>
    <n v="2007"/>
    <x v="4"/>
    <s v="유성"/>
    <s v="용산"/>
    <s v="용산"/>
    <n v="19"/>
    <s v="O"/>
    <s v="11/29~"/>
    <s v="34,70,52,64"/>
    <n v="464"/>
    <m/>
  </r>
  <r>
    <s v="주상복합"/>
    <n v="1"/>
    <s v="세종리버파크7단지"/>
    <n v="2021"/>
    <x v="5"/>
    <s v="세종"/>
    <s v="소담"/>
    <s v="소담"/>
    <n v="9"/>
    <s v="O"/>
    <s v="12/1~"/>
    <s v="33~57"/>
    <n v="342"/>
    <m/>
  </r>
  <r>
    <s v="아파트"/>
    <n v="1"/>
    <s v="제일풍경채도램9단지"/>
    <n v="2013"/>
    <x v="5"/>
    <s v="세종"/>
    <s v="도담"/>
    <s v="도담"/>
    <n v="26"/>
    <s v="O"/>
    <s v="12/1~"/>
    <s v="37,42"/>
    <n v="700"/>
    <m/>
  </r>
  <r>
    <s v="아파트"/>
    <n v="1"/>
    <s v="새나루마을1단지아파트"/>
    <n v="2010"/>
    <x v="5"/>
    <s v="세종"/>
    <s v="집현"/>
    <s v="집현"/>
    <n v="50"/>
    <s v="O"/>
    <s v="12/1~"/>
    <s v="31~60"/>
    <n v="1200"/>
    <m/>
  </r>
  <r>
    <s v="아파트"/>
    <n v="1"/>
    <s v="죽림우방유쉘"/>
    <n v="1998"/>
    <x v="5"/>
    <s v="세종"/>
    <s v="조치원"/>
    <s v="죽림"/>
    <n v="18"/>
    <s v="O"/>
    <s v="12/1~"/>
    <s v="33~48"/>
    <n v="513"/>
    <m/>
  </r>
  <r>
    <s v="아파트"/>
    <n v="1"/>
    <s v="가락마을17단지"/>
    <n v="2021"/>
    <x v="5"/>
    <s v="고운"/>
    <s v="마음"/>
    <s v="마음"/>
    <n v="15"/>
    <s v="O"/>
    <s v="12/1~"/>
    <n v="25"/>
    <n v="508"/>
    <m/>
  </r>
  <r>
    <s v="아파트"/>
    <n v="1"/>
    <s v="가재마을9단지"/>
    <n v="2013"/>
    <x v="5"/>
    <s v="중촌"/>
    <s v="중촌"/>
    <s v="중촌"/>
    <n v="23"/>
    <s v="O"/>
    <s v="12/1~"/>
    <s v="28,33,34,37,45"/>
    <n v="955"/>
    <m/>
  </r>
  <r>
    <s v="아파트"/>
    <n v="1"/>
    <s v="범지기3단지아파트"/>
    <n v="2008"/>
    <x v="5"/>
    <s v="달빛1"/>
    <s v="아름"/>
    <s v="아름"/>
    <n v="21"/>
    <s v="O"/>
    <s v="12/1~"/>
    <s v="33,37"/>
    <n v="852"/>
    <m/>
  </r>
  <r>
    <s v="아파트"/>
    <n v="1"/>
    <s v="새나루마을10단지아파트"/>
    <n v="2004"/>
    <x v="5"/>
    <s v="집현"/>
    <s v="시청대로"/>
    <s v="시청대로"/>
    <n v="22"/>
    <s v="O"/>
    <s v="12/1~"/>
    <n v="23"/>
    <n v="597"/>
    <m/>
  </r>
  <r>
    <s v="아파트"/>
    <n v="1"/>
    <s v="첫마을1단지"/>
    <n v="2008"/>
    <x v="5"/>
    <s v="노을1"/>
    <s v="한솔"/>
    <s v="한솔"/>
    <n v="43"/>
    <s v="O"/>
    <s v="12/1~"/>
    <s v="24,35,42,49,58,62"/>
    <n v="895"/>
    <m/>
  </r>
  <r>
    <s v="아파트"/>
    <n v="1"/>
    <s v="범지기마을11단지"/>
    <s v="-"/>
    <x v="5"/>
    <s v="세종"/>
    <s v="아름"/>
    <s v="아름"/>
    <n v="16"/>
    <s v="O"/>
    <s v="11/29~"/>
    <s v="33,34"/>
    <n v="587"/>
    <m/>
  </r>
  <r>
    <s v="아파트"/>
    <n v="1"/>
    <s v="첫마을5단지"/>
    <n v="1992"/>
    <x v="5"/>
    <s v="한솔"/>
    <s v="한솔"/>
    <s v="한솔"/>
    <n v="48"/>
    <s v="O"/>
    <s v="11/29~"/>
    <s v="23,33,39,44,58"/>
    <n v="1240"/>
    <m/>
  </r>
  <r>
    <s v="아파트"/>
    <n v="1"/>
    <s v="첫마을6단지"/>
    <n v="2006"/>
    <x v="5"/>
    <s v="한솔"/>
    <s v="한솔"/>
    <s v="한솔"/>
    <n v="38"/>
    <s v="O"/>
    <s v="11/29~"/>
    <s v="23,33,40,44,58"/>
    <n v="1388"/>
    <m/>
  </r>
  <r>
    <s v="아파트"/>
    <n v="1"/>
    <s v="범지기마을5단지6단지"/>
    <n v="1993"/>
    <x v="5"/>
    <s v="세종"/>
    <s v="아름"/>
    <s v="아름"/>
    <n v="25"/>
    <s v="O"/>
    <s v="12/1~"/>
    <n v="34"/>
    <n v="1029"/>
    <m/>
  </r>
  <r>
    <s v="아파트"/>
    <n v="1"/>
    <s v="호려울마을10단지"/>
    <n v="1994"/>
    <x v="5"/>
    <s v="세종"/>
    <s v="보람"/>
    <s v="보람"/>
    <n v="18"/>
    <s v="O"/>
    <s v="11/29~"/>
    <s v="38,43,67"/>
    <n v="656"/>
    <m/>
  </r>
  <r>
    <s v="아파트"/>
    <n v="1"/>
    <s v="세종e편한세상"/>
    <n v="1999"/>
    <x v="5"/>
    <s v="세종"/>
    <s v="조치원"/>
    <s v="신안"/>
    <n v="31"/>
    <s v="O"/>
    <s v="12/1~"/>
    <s v="34,35,39,47,48,55"/>
    <n v="983"/>
    <m/>
  </r>
  <r>
    <s v="아파트"/>
    <n v="1"/>
    <s v="해밀마을2단지"/>
    <n v="2018"/>
    <x v="5"/>
    <s v="세종"/>
    <s v="해밀"/>
    <s v="해밀"/>
    <n v="51"/>
    <s v="O"/>
    <s v="12/1~"/>
    <s v="33,40,43,46"/>
    <n v="1110"/>
    <m/>
  </r>
  <r>
    <s v="아파트"/>
    <n v="1"/>
    <s v="호려울마을8단지"/>
    <n v="2022"/>
    <x v="5"/>
    <s v="세종"/>
    <s v="보람"/>
    <s v="보람"/>
    <n v="24"/>
    <s v="O"/>
    <s v="11/29~"/>
    <s v="33,38,43"/>
    <n v="900"/>
    <m/>
  </r>
  <r>
    <s v="아파트"/>
    <n v="1"/>
    <s v="새나루마을3단지"/>
    <n v="2001"/>
    <x v="5"/>
    <s v="세종"/>
    <s v="집현"/>
    <s v="집현"/>
    <n v="21"/>
    <s v="O"/>
    <s v="11/29~"/>
    <s v="23,33,38"/>
    <n v="508"/>
    <m/>
  </r>
  <r>
    <s v="아파트"/>
    <n v="1"/>
    <s v="가락마을9단지"/>
    <n v="2011"/>
    <x v="5"/>
    <s v="세종"/>
    <s v="고운"/>
    <s v="고운"/>
    <n v="16"/>
    <s v="O"/>
    <s v="11/29~"/>
    <s v="25,34"/>
    <n v="538"/>
    <m/>
  </r>
  <r>
    <s v="아파트"/>
    <n v="1"/>
    <s v="첫마을7단지래미안"/>
    <n v="2022"/>
    <x v="5"/>
    <s v="세종"/>
    <s v="한솔"/>
    <s v="한솔"/>
    <n v="36"/>
    <s v="O"/>
    <s v="11/29~"/>
    <s v="23,33,40,45,59"/>
    <n v="1328"/>
    <m/>
  </r>
  <r>
    <s v="아파트"/>
    <n v="1"/>
    <s v="세종한뜰마을5단지린스트라우스"/>
    <n v="2023"/>
    <x v="5"/>
    <s v="세종"/>
    <s v="어진"/>
    <s v="어진"/>
    <n v="12"/>
    <s v="O"/>
    <s v="11/29~"/>
    <s v="34,35,40,41,50,68"/>
    <n v="465"/>
    <m/>
  </r>
  <r>
    <s v="아파트"/>
    <n v="1"/>
    <s v="첫마을4단지"/>
    <s v="-"/>
    <x v="5"/>
    <s v="세종"/>
    <s v="한솔"/>
    <s v="한솔"/>
    <n v="10"/>
    <s v="O"/>
    <s v="11/29~"/>
    <s v="24,34"/>
    <n v="322"/>
    <m/>
  </r>
  <r>
    <s v="아파트"/>
    <n v="1"/>
    <s v="새나루마을4단지"/>
    <n v="2007"/>
    <x v="5"/>
    <s v="세종"/>
    <s v="집현"/>
    <s v="집현"/>
    <n v="14"/>
    <s v="O"/>
    <s v="12/1~"/>
    <s v="24,34,39"/>
    <n v="338"/>
    <m/>
  </r>
  <r>
    <s v="아파트"/>
    <n v="1"/>
    <s v="세종메이저시티새뜸마을5단지아파트"/>
    <n v="2012"/>
    <x v="5"/>
    <s v="세종"/>
    <s v="새롬"/>
    <s v="새롬"/>
    <n v="29"/>
    <s v="O"/>
    <s v="11/29~"/>
    <s v="25,33,38"/>
    <n v="1005"/>
    <m/>
  </r>
  <r>
    <s v="아파트"/>
    <n v="1"/>
    <s v="새뜸마을11단지아파트"/>
    <n v="2017"/>
    <x v="5"/>
    <s v="세종"/>
    <s v="새롬"/>
    <s v="새롬"/>
    <n v="15"/>
    <s v="O"/>
    <s v="12/1~"/>
    <s v="35,39,46,50,41,54,56,57"/>
    <n v="445"/>
    <m/>
  </r>
  <r>
    <s v="아파트"/>
    <n v="1"/>
    <s v="새뜸마을3단지"/>
    <n v="2005"/>
    <x v="5"/>
    <s v="세종"/>
    <s v="새롬북"/>
    <s v="새롬"/>
    <n v="26"/>
    <s v="O"/>
    <s v="11/29~"/>
    <s v="30,34,40"/>
    <n v="677"/>
    <m/>
  </r>
  <r>
    <s v="아파트"/>
    <n v="1"/>
    <s v="수루배마을3단지"/>
    <n v="2001"/>
    <x v="5"/>
    <s v="세종"/>
    <s v="반곡"/>
    <s v="반곡"/>
    <n v="28"/>
    <s v="O"/>
    <s v="11/29~"/>
    <s v="33,34,39,40,41,42,54"/>
    <n v="784"/>
    <m/>
  </r>
  <r>
    <s v="아파트"/>
    <n v="1"/>
    <s v="가재마을7단지"/>
    <n v="2021"/>
    <x v="5"/>
    <s v="세종"/>
    <s v="달빛"/>
    <s v="종촌"/>
    <n v="19"/>
    <s v="O"/>
    <s v="12/1~"/>
    <s v="33,41"/>
    <n v="866"/>
    <m/>
  </r>
  <r>
    <s v="아파트"/>
    <n v="1"/>
    <s v="해들마을4단지아파트"/>
    <n v="2018"/>
    <x v="5"/>
    <s v="세종"/>
    <s v="대평"/>
    <s v="대평"/>
    <n v="30"/>
    <s v="O"/>
    <s v="12/1~"/>
    <s v="34,38,43"/>
    <n v="1015"/>
    <m/>
  </r>
  <r>
    <s v="아파트"/>
    <n v="1"/>
    <s v="세종가락마을13단지"/>
    <n v="2015"/>
    <x v="5"/>
    <s v="세종"/>
    <s v="고운"/>
    <s v="고운"/>
    <n v="14"/>
    <s v="O"/>
    <s v="11/29~"/>
    <s v="23,24,33"/>
    <n v="49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가온마을10단지"/>
    <n v="2023"/>
    <x v="5"/>
    <s v="세종"/>
    <s v="다정"/>
    <s v="다정"/>
    <n v="10"/>
    <s v="O"/>
    <s v="11/29~"/>
    <s v="34,35,39,46,49"/>
    <n v="333"/>
    <m/>
  </r>
  <r>
    <s v="아파트"/>
    <n v="1"/>
    <s v="수루배마을1단지아파트"/>
    <n v="2023"/>
    <x v="5"/>
    <s v="세종"/>
    <s v="반곡"/>
    <s v="반곡"/>
    <n v="39"/>
    <s v="O"/>
    <s v="12/1~"/>
    <s v="34.35.39.40.41.42.45.46.47.50.52.57.64.65.81"/>
    <n v="1111"/>
    <m/>
  </r>
  <r>
    <s v="아파트"/>
    <n v="1"/>
    <s v="가재마을11단지"/>
    <n v="2017"/>
    <x v="5"/>
    <s v="세종"/>
    <s v="종촌"/>
    <s v="종촌"/>
    <n v="24"/>
    <s v="O"/>
    <s v="11/29~"/>
    <s v="24,25,34"/>
    <n v="696"/>
    <m/>
  </r>
  <r>
    <s v="아파트"/>
    <n v="1"/>
    <s v="신흥푸르지오아파트"/>
    <n v="2018"/>
    <x v="5"/>
    <s v="세종"/>
    <s v="조치원"/>
    <s v="신흥"/>
    <n v="27"/>
    <s v="O"/>
    <s v="11/29~"/>
    <s v="33,41,47,54"/>
    <n v="0"/>
    <m/>
  </r>
  <r>
    <s v="아파트"/>
    <n v="1"/>
    <s v="새뜸마을14단지더샵힐스테이트아파트"/>
    <n v="2011"/>
    <x v="5"/>
    <s v="세종"/>
    <s v="새롬"/>
    <s v="새롬"/>
    <n v="8"/>
    <s v="O"/>
    <s v="12/1~"/>
    <s v="39,43,44,51"/>
    <n v="222"/>
    <m/>
  </r>
  <r>
    <s v="아파트"/>
    <n v="1"/>
    <s v="도램마을1단지"/>
    <n v="2021"/>
    <x v="5"/>
    <s v="세종"/>
    <s v="도담"/>
    <s v="도담"/>
    <n v="18"/>
    <s v="O"/>
    <s v="11/29~"/>
    <s v="25,34,35,36"/>
    <n v="732"/>
    <m/>
  </r>
  <r>
    <s v="아파트"/>
    <n v="1"/>
    <s v="범지기마을9단지"/>
    <n v="2015"/>
    <x v="5"/>
    <s v="세종"/>
    <s v="아름"/>
    <s v="아름"/>
    <n v="19"/>
    <s v="O"/>
    <s v="11/29~"/>
    <s v="33,38"/>
    <n v="687"/>
    <m/>
  </r>
  <r>
    <s v="아파트"/>
    <n v="1"/>
    <s v="천안신부청광플러스원"/>
    <n v="2006"/>
    <x v="6"/>
    <s v="천안"/>
    <s v="신부"/>
    <s v="신부"/>
    <n v="8"/>
    <s v="O"/>
    <s v="11/28~"/>
    <n v="32"/>
    <n v="23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다가동신성1차아파트"/>
    <n v="1990"/>
    <x v="6"/>
    <s v="천안"/>
    <s v="동남"/>
    <s v="다가"/>
    <n v="13"/>
    <s v="O"/>
    <s v="11/26~"/>
    <s v="28~32"/>
    <n v="36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천안레이크타운2차푸르지오아파트"/>
    <n v="2018"/>
    <x v="6"/>
    <s v="천안"/>
    <s v="서북"/>
    <s v="성성"/>
    <n v="45"/>
    <s v="O"/>
    <s v="11/29~"/>
    <s v="26~39"/>
    <n v="173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불당이안아파트"/>
    <n v="2015"/>
    <x v="6"/>
    <s v="천안"/>
    <s v="서북"/>
    <s v="불당"/>
    <n v="17"/>
    <s v="O"/>
    <s v="11/29~"/>
    <s v="30,34"/>
    <n v="80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오창모아미래도와이드시티4단지"/>
    <n v="1992"/>
    <x v="7"/>
    <s v="청주"/>
    <s v="오창"/>
    <s v="주성"/>
    <n v="12"/>
    <s v="O"/>
    <s v="11/29~"/>
    <s v="29,33"/>
    <n v="472"/>
    <m/>
  </r>
  <r>
    <s v="아파트"/>
    <n v="1"/>
    <s v="청주동남시티프라디움2"/>
    <n v="2020"/>
    <x v="7"/>
    <s v="청주"/>
    <s v="용암"/>
    <s v="용암"/>
    <n v="14"/>
    <s v="O"/>
    <s v="11/29~"/>
    <n v="32"/>
    <n v="61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충주칠금1차부영"/>
    <n v="1996"/>
    <x v="7"/>
    <s v="충주"/>
    <s v="칠금"/>
    <s v="칠금"/>
    <n v="8"/>
    <s v="O"/>
    <s v="11/29~"/>
    <s v="19,23"/>
    <n v="72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율량금호어울림센트로"/>
    <n v="2022"/>
    <x v="7"/>
    <s v="청주"/>
    <s v="율량"/>
    <s v="율량"/>
    <n v="19"/>
    <s v="O"/>
    <s v="11/29~"/>
    <s v="23~34"/>
    <n v="74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청주모충LH트릴로채"/>
    <n v="2021"/>
    <x v="7"/>
    <s v="청주"/>
    <s v="모충"/>
    <s v="모충"/>
    <n v="38"/>
    <s v="O"/>
    <s v="11/29~"/>
    <s v="25~33"/>
    <n v="169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오창우림필유1차"/>
    <n v="2006"/>
    <x v="7"/>
    <s v="청주"/>
    <s v="청원"/>
    <s v="오창"/>
    <n v="33"/>
    <s v="O"/>
    <s v="11/28~"/>
    <s v="25~45"/>
    <n v="112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청주동남파밀리에NHF4단지"/>
    <s v="-"/>
    <x v="7"/>
    <s v="청주"/>
    <s v="상당"/>
    <s v="용암"/>
    <n v="24"/>
    <s v="O"/>
    <s v="11/29~"/>
    <s v="15,17"/>
    <n v="107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우미린에듀파크1단지아파트"/>
    <n v="2017"/>
    <x v="7"/>
    <s v="청주"/>
    <s v="상당"/>
    <s v="용정"/>
    <n v="10"/>
    <s v="O"/>
    <s v="12/1~"/>
    <s v="32,43,49"/>
    <n v="39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주은프레지던트아파트"/>
    <n v="2001"/>
    <x v="7"/>
    <s v="청주"/>
    <s v="서원"/>
    <s v="분평"/>
    <n v="18"/>
    <s v="O"/>
    <s v="11/29~"/>
    <s v="34,45,53"/>
    <n v="620"/>
    <s v="온라인(유통) : 쿠팡 , 롯데온 , 마켓컬리 , 오아시스 , B마트(배민은 가능)   //   대형마트 : 홈플러스 / 롯데마트 / 메가마트 / GS슈퍼 / 롯데슈퍼 / 홈플러스익스프레스"/>
  </r>
  <r>
    <s v="오피스텔"/>
    <n v="1"/>
    <s v="청주지웰시티푸르지오아파트"/>
    <n v="2019"/>
    <x v="7"/>
    <s v="청주"/>
    <s v="흥덕"/>
    <s v="복대"/>
    <n v="11"/>
    <s v="O"/>
    <s v="11/28~"/>
    <s v="32,37,38"/>
    <n v="46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두산한솔2차아파트"/>
    <n v="1993"/>
    <x v="7"/>
    <s v="청주"/>
    <s v="서원"/>
    <s v="개신"/>
    <n v="5"/>
    <s v="O"/>
    <s v="11/29~"/>
    <s v="24,31"/>
    <n v="18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청주가경아이파크5단지"/>
    <n v="2023"/>
    <x v="7"/>
    <s v="청주"/>
    <s v="흥덕"/>
    <s v="서부"/>
    <n v="21"/>
    <s v="O"/>
    <s v="12/1~"/>
    <s v="33,39,45"/>
    <n v="925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청주사천푸르지오아파트"/>
    <n v="2018"/>
    <x v="7"/>
    <s v="청주"/>
    <s v="사천"/>
    <s v="사천"/>
    <n v="15"/>
    <s v="O"/>
    <s v="12/1~"/>
    <s v="25,30,34"/>
    <n v="729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강서베리굿1차"/>
    <n v="2015"/>
    <x v="7"/>
    <s v="청주"/>
    <s v="강서"/>
    <s v="강서"/>
    <n v="4"/>
    <s v="O"/>
    <s v="11/29~"/>
    <n v="14"/>
    <n v="17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신천힐탑맨션"/>
    <n v="2011"/>
    <x v="8"/>
    <s v="서"/>
    <s v="쌍촌"/>
    <s v="쌍촌"/>
    <n v="7"/>
    <s v="O"/>
    <s v="11/29~"/>
    <s v="27,34,49,53"/>
    <n v="319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더샵효자"/>
    <n v="2005"/>
    <x v="9"/>
    <s v="전주"/>
    <s v="완산"/>
    <s v="효자동2가"/>
    <n v="23"/>
    <s v="O"/>
    <s v="11/29~"/>
    <s v="39,47,55,64"/>
    <n v="88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대구태왕아너스"/>
    <n v="2004"/>
    <x v="10"/>
    <s v="수성"/>
    <s v="황금"/>
    <s v="황금1"/>
    <n v="13"/>
    <s v="O"/>
    <s v="12/5~"/>
    <s v="36-87"/>
    <n v="480"/>
    <m/>
  </r>
  <r>
    <s v="아파트"/>
    <n v="1"/>
    <s v="대구우방드림시티"/>
    <n v="2003"/>
    <x v="10"/>
    <s v="달서"/>
    <s v="감삼"/>
    <s v="감삼"/>
    <n v="45"/>
    <s v="O"/>
    <s v="12/1~"/>
    <s v="23-38"/>
    <n v="2160"/>
    <m/>
  </r>
  <r>
    <s v="아파트"/>
    <n v="1"/>
    <s v="대구화성파크드림"/>
    <n v="2006"/>
    <x v="10"/>
    <s v="수성"/>
    <s v="범어"/>
    <s v="범어3"/>
    <n v="6"/>
    <s v="O"/>
    <s v="12/5~"/>
    <s v="33,36,46,48"/>
    <n v="179"/>
    <m/>
  </r>
  <r>
    <s v="아파트"/>
    <n v="1"/>
    <s v="대구범어태왕아너스"/>
    <n v="2006"/>
    <x v="10"/>
    <s v="수성"/>
    <s v="범어"/>
    <s v="범어3"/>
    <n v="7"/>
    <s v="O"/>
    <s v="12/1~"/>
    <n v="32"/>
    <n v="299"/>
    <m/>
  </r>
  <r>
    <s v="아파트"/>
    <n v="1"/>
    <s v="대구메트로팔레스3"/>
    <n v="2003"/>
    <x v="10"/>
    <s v="수성"/>
    <s v="만촌"/>
    <s v="만촌1"/>
    <n v="23"/>
    <s v="O"/>
    <s v="12/5~"/>
    <s v="31,36,45,56"/>
    <n v="878"/>
    <m/>
  </r>
  <r>
    <s v="아파트"/>
    <n v="1"/>
    <s v="대구월성태왕아너스"/>
    <n v="2007"/>
    <x v="10"/>
    <s v="달서"/>
    <s v="월성"/>
    <s v="월성1"/>
    <n v="11"/>
    <s v="O"/>
    <s v="12/3~"/>
    <s v="33~78"/>
    <n v="499"/>
    <m/>
  </r>
  <r>
    <s v="아파트"/>
    <n v="1"/>
    <s v="대구수성태영데시앙"/>
    <n v="2008"/>
    <x v="10"/>
    <s v="수성"/>
    <s v="수성"/>
    <s v="수성4가"/>
    <n v="15"/>
    <s v="O"/>
    <s v="12/1~"/>
    <s v="34,43,50,56,66"/>
    <n v="718"/>
    <m/>
  </r>
  <r>
    <s v="아파트"/>
    <n v="1"/>
    <s v="대구월배역포스코더샾"/>
    <n v="2006"/>
    <x v="10"/>
    <s v="달서"/>
    <s v="진천"/>
    <s v="진천"/>
    <n v="19"/>
    <s v="O"/>
    <s v="12/1~"/>
    <s v="34,39,44,49,55"/>
    <n v="816"/>
    <m/>
  </r>
  <r>
    <s v="아파트"/>
    <n v="1"/>
    <s v="월성푸르지오"/>
    <n v="2008"/>
    <x v="10"/>
    <s v="달서"/>
    <s v="월성"/>
    <s v="월성"/>
    <n v="35"/>
    <s v="O"/>
    <s v="12/5~"/>
    <s v="30,34,48,56"/>
    <n v="1824"/>
    <s v="주류광고"/>
  </r>
  <r>
    <s v="아파트"/>
    <n v="1"/>
    <s v="대구침산코오롱2차"/>
    <n v="2006"/>
    <x v="10"/>
    <s v="북"/>
    <s v="침산"/>
    <s v="침산2"/>
    <n v="22"/>
    <s v="O"/>
    <s v="12/3~"/>
    <s v="34-~64"/>
    <n v="977"/>
    <m/>
  </r>
  <r>
    <s v="아파트"/>
    <n v="1"/>
    <s v="대구효성백년가약1"/>
    <n v="2008"/>
    <x v="10"/>
    <s v="수성"/>
    <s v="신매"/>
    <s v="고산1"/>
    <n v="9"/>
    <s v="O"/>
    <s v="12/3~"/>
    <s v="33~57"/>
    <n v="299"/>
    <m/>
  </r>
  <r>
    <s v="아파트"/>
    <n v="1"/>
    <s v="대구효성백년가약2"/>
    <n v="2008"/>
    <x v="10"/>
    <s v="수성"/>
    <s v="신매"/>
    <s v="고산1"/>
    <n v="9"/>
    <s v="O"/>
    <s v="12/3~"/>
    <s v="33~57"/>
    <n v="293"/>
    <m/>
  </r>
  <r>
    <s v="아파트"/>
    <n v="1"/>
    <s v="대구수성SK뷰"/>
    <n v="2010"/>
    <x v="10"/>
    <s v="수성"/>
    <s v="두산"/>
    <s v="두산"/>
    <n v="16"/>
    <s v="O"/>
    <s v="12/6~"/>
    <s v="35~88"/>
    <n v="788"/>
    <m/>
  </r>
  <r>
    <s v="아파트"/>
    <n v="1"/>
    <s v="대구범어우방유쉘"/>
    <n v="2009"/>
    <x v="10"/>
    <s v="수성"/>
    <s v="범어"/>
    <s v="범어3"/>
    <n v="6"/>
    <s v="O"/>
    <s v="12/1~"/>
    <s v="43,44,52"/>
    <n v="292"/>
    <m/>
  </r>
  <r>
    <s v="아파트"/>
    <n v="1"/>
    <s v="대구수성레이크시티"/>
    <n v="2009"/>
    <x v="10"/>
    <s v="수성"/>
    <s v="상"/>
    <s v="상"/>
    <n v="52"/>
    <s v="O"/>
    <s v="12/6~"/>
    <s v="37~60"/>
    <n v="1411"/>
    <m/>
  </r>
  <r>
    <s v="아파트"/>
    <n v="1"/>
    <s v="대구칠성서희스타힐스"/>
    <n v="2012"/>
    <x v="10"/>
    <s v="북"/>
    <s v="칠성"/>
    <s v="칠성"/>
    <n v="34"/>
    <s v="O"/>
    <s v="12/1~"/>
    <s v="24~46"/>
    <n v="1250"/>
    <m/>
  </r>
  <r>
    <s v="아파트"/>
    <n v="1"/>
    <s v="대구수성못코오롱"/>
    <n v="2013"/>
    <x v="10"/>
    <s v="수성"/>
    <s v="파"/>
    <s v="파"/>
    <n v="25"/>
    <s v="O"/>
    <s v="12/1~"/>
    <s v="33~40"/>
    <n v="832"/>
    <m/>
  </r>
  <r>
    <s v="아파트"/>
    <n v="1"/>
    <s v="대구범어숲파크드림"/>
    <n v="2013"/>
    <x v="10"/>
    <s v="수성"/>
    <s v="범어"/>
    <s v="범어2"/>
    <n v="12"/>
    <s v="O"/>
    <s v="12/3~"/>
    <s v="34~58"/>
    <n v="503"/>
    <m/>
  </r>
  <r>
    <s v="아파트"/>
    <n v="1"/>
    <s v="대구범어파크리젠시"/>
    <n v="2007"/>
    <x v="10"/>
    <s v="수성"/>
    <s v="범어"/>
    <s v="범어3"/>
    <n v="4"/>
    <s v="O"/>
    <s v="12/5~"/>
    <s v="39~56"/>
    <n v="153"/>
    <m/>
  </r>
  <r>
    <s v="아파트"/>
    <n v="1"/>
    <s v="대구월성협성휴포레"/>
    <n v="2016"/>
    <x v="10"/>
    <s v="달서"/>
    <s v="월성"/>
    <s v="월성1"/>
    <n v="24"/>
    <s v="O"/>
    <s v="12/3~"/>
    <s v="27~44"/>
    <n v="996"/>
    <m/>
  </r>
  <r>
    <s v="아파트"/>
    <n v="1"/>
    <s v="대구상인파크드림1차"/>
    <n v="2010"/>
    <x v="10"/>
    <s v="달서"/>
    <s v="상인"/>
    <s v="상인1"/>
    <n v="23"/>
    <s v="O"/>
    <s v="12/5~"/>
    <s v="24~43"/>
    <n v="1069"/>
    <m/>
  </r>
  <r>
    <s v="아파트"/>
    <n v="1"/>
    <s v="대구대봉태왕아너스"/>
    <n v="2015"/>
    <x v="10"/>
    <s v="중"/>
    <s v="대봉"/>
    <s v="대봉1"/>
    <n v="10"/>
    <s v="O"/>
    <s v="12/1~"/>
    <s v="23~33"/>
    <n v="410"/>
    <m/>
  </r>
  <r>
    <s v="아파트"/>
    <n v="1"/>
    <s v="대구수성코오롱하늘채"/>
    <n v="2009"/>
    <x v="10"/>
    <s v="수성"/>
    <s v="수성3가"/>
    <s v="수성2,3가"/>
    <n v="28"/>
    <s v="O"/>
    <s v="12/3~"/>
    <s v="48~107"/>
    <n v="439"/>
    <m/>
  </r>
  <r>
    <s v="아파트"/>
    <n v="1"/>
    <s v="대구힐스테이트황금"/>
    <n v="2009"/>
    <x v="10"/>
    <s v="수성"/>
    <s v="황금"/>
    <s v="황금1"/>
    <n v="14"/>
    <s v="O"/>
    <s v="12/3~"/>
    <s v="86~137"/>
    <n v="782"/>
    <m/>
  </r>
  <r>
    <s v="아파트"/>
    <n v="1"/>
    <s v="대구신서롯데캐슬"/>
    <n v="2007"/>
    <x v="10"/>
    <s v="동"/>
    <s v="신서"/>
    <s v="안심3,4"/>
    <n v="15"/>
    <s v="O"/>
    <s v="12/1~"/>
    <s v="23~45"/>
    <n v="619"/>
    <m/>
  </r>
  <r>
    <s v="아파트"/>
    <n v="1"/>
    <s v="대구오페라코오롱"/>
    <n v="2014"/>
    <x v="10"/>
    <s v="북"/>
    <s v="칠성2가"/>
    <s v="칠성"/>
    <n v="12"/>
    <s v="O"/>
    <s v="12/1~"/>
    <s v="33~35"/>
    <n v="539"/>
    <m/>
  </r>
  <r>
    <s v="아파트"/>
    <n v="1"/>
    <s v="대구평리푸르지오"/>
    <n v="2011"/>
    <x v="10"/>
    <s v="서"/>
    <s v="평리"/>
    <s v="평리"/>
    <n v="48"/>
    <s v="O"/>
    <s v="12/1~"/>
    <s v="25~42"/>
    <n v="1819"/>
    <m/>
  </r>
  <r>
    <s v="아파트"/>
    <n v="1"/>
    <s v="대구월배아이파크2차"/>
    <n v="2016"/>
    <x v="10"/>
    <s v="달서"/>
    <s v="유천"/>
    <s v="진천"/>
    <n v="45"/>
    <s v="O"/>
    <s v="12/1~"/>
    <s v="24~40"/>
    <n v="2134"/>
    <m/>
  </r>
  <r>
    <s v="아파트"/>
    <n v="1"/>
    <s v="대구월성주공4"/>
    <n v="1992"/>
    <x v="10"/>
    <s v="달서"/>
    <s v="월성"/>
    <s v="월성"/>
    <n v="22"/>
    <s v="O"/>
    <s v="12/1~"/>
    <s v="15~24"/>
    <n v="1840"/>
    <m/>
  </r>
  <r>
    <s v="주상복합"/>
    <n v="1"/>
    <s v="대구역유림노르웨이숲"/>
    <n v="2017"/>
    <x v="10"/>
    <s v="북"/>
    <s v="칠성동2가"/>
    <s v="칠성동2가"/>
    <n v="6"/>
    <s v="O"/>
    <s v="12/1~"/>
    <s v="26~35"/>
    <n v="368"/>
    <m/>
  </r>
  <r>
    <s v="아파트"/>
    <n v="1"/>
    <s v="대구연경아이파크"/>
    <n v="2020"/>
    <x v="10"/>
    <s v="동"/>
    <s v="지묘"/>
    <s v="지묘"/>
    <n v="26"/>
    <s v="O"/>
    <s v="12/1~"/>
    <s v="32,39"/>
    <n v="792"/>
    <m/>
  </r>
  <r>
    <s v="아파트"/>
    <n v="1"/>
    <s v="대구수성효성해링턴"/>
    <n v="2020"/>
    <x v="10"/>
    <s v="수성"/>
    <s v="중"/>
    <s v="중"/>
    <n v="13"/>
    <s v="O"/>
    <s v="12/3~"/>
    <s v="32~59"/>
    <n v="745"/>
    <m/>
  </r>
  <r>
    <s v="아파트"/>
    <n v="1"/>
    <s v="대구앞산비스타동원"/>
    <n v="2021"/>
    <x v="10"/>
    <s v="남"/>
    <s v="봉덕"/>
    <s v="봉덕"/>
    <n v="10"/>
    <s v="O"/>
    <s v="12/1~"/>
    <s v="18~33"/>
    <n v="431"/>
    <m/>
  </r>
  <r>
    <s v="아파트"/>
    <n v="1"/>
    <s v="대구수성하늘채르레브"/>
    <n v="2020"/>
    <x v="10"/>
    <s v="수성"/>
    <s v="범물"/>
    <s v="범물"/>
    <n v="17"/>
    <s v="O"/>
    <s v="12/1~"/>
    <s v="30,32,33"/>
    <n v="709"/>
    <m/>
  </r>
  <r>
    <s v="아파트/오피스텔"/>
    <n v="1"/>
    <s v="대구신천역까사밀라"/>
    <n v="2006"/>
    <x v="10"/>
    <s v="동"/>
    <s v="신천"/>
    <s v="신천"/>
    <n v="5"/>
    <s v="O"/>
    <s v="12/1~"/>
    <s v="9~42"/>
    <n v="366"/>
    <m/>
  </r>
  <r>
    <s v="주상복합"/>
    <n v="1"/>
    <s v="침산화성파크드림"/>
    <n v="2010"/>
    <x v="10"/>
    <s v="북"/>
    <s v="침산"/>
    <s v="침산"/>
    <n v="21"/>
    <s v="O"/>
    <s v="12/1~"/>
    <s v="18~56"/>
    <n v="1640"/>
    <m/>
  </r>
  <r>
    <s v="아파트"/>
    <n v="1"/>
    <s v="대구범어에일린의뜰"/>
    <n v="1998"/>
    <x v="10"/>
    <s v="수성"/>
    <s v="범어"/>
    <s v="범어"/>
    <n v="19"/>
    <s v="O"/>
    <s v="12/3~"/>
    <s v="27~50"/>
    <n v="719"/>
    <m/>
  </r>
  <r>
    <s v="아파트"/>
    <n v="1"/>
    <s v="수성보성타운"/>
    <n v="2017"/>
    <x v="10"/>
    <s v="수성"/>
    <s v="수성동4가"/>
    <s v="수성동4가"/>
    <n v="22"/>
    <s v="O"/>
    <s v="12/1~"/>
    <s v="22~93"/>
    <n v="1032"/>
    <m/>
  </r>
  <r>
    <s v="아파트"/>
    <n v="1"/>
    <s v="대신센트럴자이"/>
    <n v="1997"/>
    <x v="10"/>
    <s v="중"/>
    <s v="대신"/>
    <s v="대신"/>
    <n v="24"/>
    <s v="O"/>
    <s v="12/1~"/>
    <s v="26~39"/>
    <n v="1147"/>
    <m/>
  </r>
  <r>
    <s v="아파트"/>
    <n v="1"/>
    <s v="수성골드클래스더센텀"/>
    <n v="2016"/>
    <x v="10"/>
    <s v="수성"/>
    <s v="중동"/>
    <s v="중동"/>
    <n v="12"/>
    <s v="O"/>
    <s v="12/3~"/>
    <s v="32,40"/>
    <n v="588"/>
    <m/>
  </r>
  <r>
    <s v="아파트"/>
    <n v="1"/>
    <s v="월배삼정그린코아포레스트"/>
    <n v="2016"/>
    <x v="10"/>
    <s v="달서"/>
    <s v="대천"/>
    <s v="대천"/>
    <n v="30"/>
    <s v="O"/>
    <s v="12/3~"/>
    <s v="32, 42, 46, 50, 64"/>
    <n v="1533"/>
    <m/>
  </r>
  <r>
    <s v="아파트"/>
    <n v="1"/>
    <s v="진천역대성스카이렉스"/>
    <n v="2005"/>
    <x v="10"/>
    <s v="달서"/>
    <s v="진천"/>
    <s v="진천"/>
    <n v="10"/>
    <s v="O"/>
    <s v="12/1~"/>
    <s v="33,42,47"/>
    <n v="446"/>
    <m/>
  </r>
  <r>
    <s v="아파트"/>
    <n v="1"/>
    <s v="월성삼정그린코아에듀파크아파트"/>
    <n v="2009"/>
    <x v="10"/>
    <s v="달서"/>
    <s v="월성"/>
    <s v="월성"/>
    <n v="26"/>
    <s v="O"/>
    <s v="12/5~"/>
    <n v="32"/>
    <n v="1392"/>
    <m/>
  </r>
  <r>
    <s v="아파트"/>
    <n v="1"/>
    <s v="범어서한포레스트"/>
    <n v="2022"/>
    <x v="10"/>
    <s v="수성"/>
    <s v="범어"/>
    <s v="범어"/>
    <n v="4"/>
    <s v="O"/>
    <s v="12/5~"/>
    <s v="34,39"/>
    <n v="202"/>
    <m/>
  </r>
  <r>
    <s v="오피스텔"/>
    <n v="1"/>
    <s v="범어서한포레스트of"/>
    <n v="2020"/>
    <x v="10"/>
    <s v="수성"/>
    <s v="범어"/>
    <s v="범어"/>
    <n v="3"/>
    <s v="O"/>
    <s v="12/3~"/>
    <s v="34,39"/>
    <n v="108"/>
    <m/>
  </r>
  <r>
    <s v="아파트"/>
    <n v="1"/>
    <s v="대구도남LH1단지"/>
    <n v="2016"/>
    <x v="10"/>
    <s v="북"/>
    <s v="국우"/>
    <s v="국우"/>
    <n v="12"/>
    <s v="O"/>
    <s v="12/1~"/>
    <s v="21,26,44"/>
    <n v="820"/>
    <m/>
  </r>
  <r>
    <s v="아파트"/>
    <n v="1"/>
    <s v="반월당역서한포레스트"/>
    <n v="2005"/>
    <x v="10"/>
    <s v="중"/>
    <s v="남산"/>
    <s v="남산"/>
    <n v="11"/>
    <s v="O"/>
    <s v="12/1~"/>
    <s v="28,31,34"/>
    <n v="427"/>
    <m/>
  </r>
  <r>
    <s v="아파트"/>
    <n v="1"/>
    <s v="오페라트루엘시민의숲"/>
    <n v="1999"/>
    <x v="10"/>
    <s v="북"/>
    <s v="고성동3가"/>
    <s v="고성동3가"/>
    <n v="17"/>
    <s v="O"/>
    <s v="12/1~"/>
    <s v="24,30,34,46"/>
    <n v="682"/>
    <m/>
  </r>
  <r>
    <s v="아파트"/>
    <n v="1"/>
    <s v="사월화성파크드림3단지"/>
    <n v="2015"/>
    <x v="10"/>
    <s v="수성"/>
    <s v="신매"/>
    <s v="신매"/>
    <n v="6"/>
    <s v="O"/>
    <s v="12/1~"/>
    <s v="32,35,47"/>
    <n v="195"/>
    <m/>
  </r>
  <r>
    <s v="아파트"/>
    <n v="1"/>
    <s v="힐스테이트범어센트럴"/>
    <n v="2006"/>
    <x v="10"/>
    <s v="수성"/>
    <s v="범어"/>
    <s v="범어"/>
    <n v="5"/>
    <s v="O"/>
    <s v="12/1~"/>
    <n v="33"/>
    <n v="160"/>
    <m/>
  </r>
  <r>
    <s v="아파트"/>
    <n v="1"/>
    <s v="방촌청구제네스"/>
    <n v="2022"/>
    <x v="10"/>
    <s v="동"/>
    <s v="방촌"/>
    <s v="방촌"/>
    <n v="5"/>
    <s v="O"/>
    <s v="12/1~"/>
    <s v="29,31"/>
    <n v="130"/>
    <m/>
  </r>
  <r>
    <s v="아파트"/>
    <n v="1"/>
    <s v="시지한신휴플러스"/>
    <s v="-"/>
    <x v="10"/>
    <s v="수성"/>
    <s v="사월"/>
    <s v="사월"/>
    <n v="18"/>
    <s v="O"/>
    <s v="12/1~"/>
    <s v="34,35,47,48,50,54"/>
    <n v="510"/>
    <m/>
  </r>
  <r>
    <s v="아파트"/>
    <n v="1"/>
    <s v="대구정화우방팔레스"/>
    <n v="2013"/>
    <x v="10"/>
    <s v="수성"/>
    <s v="상"/>
    <s v="상"/>
    <n v="13"/>
    <s v="O"/>
    <s v="12/3~"/>
    <s v="35,36,55,65"/>
    <n v="488"/>
    <m/>
  </r>
  <r>
    <s v="아파트"/>
    <n v="1"/>
    <s v="극동스타클래스남산"/>
    <n v="1993"/>
    <x v="10"/>
    <s v="중"/>
    <s v="남산"/>
    <s v="남산"/>
    <n v="20"/>
    <s v="O"/>
    <s v="12/5~"/>
    <s v="24,31,33,34,40,47"/>
    <n v="946"/>
    <m/>
  </r>
  <r>
    <s v="아파트"/>
    <n v="1"/>
    <s v="경남센트로팰리스"/>
    <n v="2015"/>
    <x v="10"/>
    <s v="중"/>
    <s v="태평로3가"/>
    <s v="태평로3가"/>
    <n v="5"/>
    <s v="O"/>
    <s v="12/1~"/>
    <s v="34,35"/>
    <n v="144"/>
    <m/>
  </r>
  <r>
    <s v="아파트"/>
    <n v="1"/>
    <s v="연경동화아이위시"/>
    <n v="2022"/>
    <x v="10"/>
    <s v="북"/>
    <s v="연경"/>
    <s v="연경"/>
    <n v="19"/>
    <s v="O"/>
    <s v="12/1~"/>
    <s v="33,42"/>
    <n v="627"/>
    <m/>
  </r>
  <r>
    <s v="아파트"/>
    <n v="1"/>
    <s v="앞산서한이다음"/>
    <n v="1985"/>
    <x v="10"/>
    <s v="남"/>
    <s v="봉덕"/>
    <s v="봉덕"/>
    <n v="3"/>
    <s v="O"/>
    <s v="12/3~"/>
    <s v="27,31"/>
    <n v="128"/>
    <m/>
  </r>
  <r>
    <s v="아파트"/>
    <n v="1"/>
    <s v="청라힐스자이"/>
    <n v="1994"/>
    <x v="10"/>
    <s v="중"/>
    <s v="남산"/>
    <s v="남산"/>
    <n v="24"/>
    <s v="O"/>
    <s v="12/3~"/>
    <s v="23,29,32,33,39"/>
    <n v="947"/>
    <m/>
  </r>
  <r>
    <s v="아파트"/>
    <n v="1"/>
    <s v="수성3가롯데캐슬"/>
    <n v="2023"/>
    <x v="10"/>
    <s v="수성"/>
    <s v="수성동3가"/>
    <s v="수성동3가"/>
    <n v="20"/>
    <s v="O"/>
    <s v="12/5~"/>
    <s v="38,46,49,50,58,65,74"/>
    <n v="802"/>
    <m/>
  </r>
  <r>
    <s v="아파트"/>
    <n v="1"/>
    <s v="수성뷰웰리버파크"/>
    <n v="2020"/>
    <x v="10"/>
    <s v="수성"/>
    <s v="중"/>
    <s v="중"/>
    <n v="9"/>
    <s v="O"/>
    <s v="12/1~"/>
    <s v="30,34"/>
    <n v="266"/>
    <m/>
  </r>
  <r>
    <s v="아파트"/>
    <n v="1"/>
    <s v="앞산봉덕영무예다음아파트"/>
    <n v="2022"/>
    <x v="10"/>
    <s v="남"/>
    <s v="대봉"/>
    <s v="봉덕"/>
    <n v="17"/>
    <s v="O"/>
    <s v="12/2~"/>
    <s v="19,25,33"/>
    <n v="622"/>
    <m/>
  </r>
  <r>
    <s v="아파트"/>
    <n v="1"/>
    <s v="신서동신일해피트리"/>
    <n v="1994"/>
    <x v="10"/>
    <s v="동"/>
    <s v="반야"/>
    <s v="신서"/>
    <n v="12"/>
    <s v="O"/>
    <s v="12/1~"/>
    <s v="34,47"/>
    <n v="588"/>
    <m/>
  </r>
  <r>
    <s v="아파트"/>
    <n v="1"/>
    <s v="더샵수성라크에르"/>
    <n v="2023"/>
    <x v="10"/>
    <s v="수성"/>
    <s v="지산"/>
    <s v="지산"/>
    <n v="18"/>
    <s v="O"/>
    <s v="12/3~"/>
    <s v="24,29,33,44,52"/>
    <n v="899"/>
    <m/>
  </r>
  <r>
    <s v="아파트"/>
    <n v="1"/>
    <s v="죽전역화성파크드림"/>
    <n v="2022"/>
    <x v="10"/>
    <s v="달서"/>
    <s v="감삼"/>
    <s v="감삼"/>
    <n v="5"/>
    <s v="O"/>
    <s v="12/1~"/>
    <s v="25,33,34"/>
    <n v="144"/>
    <m/>
  </r>
  <r>
    <s v="아파트"/>
    <n v="1"/>
    <s v="경남타운"/>
    <n v="2010"/>
    <x v="10"/>
    <s v="수성"/>
    <s v="범어"/>
    <s v="범어"/>
    <n v="13"/>
    <s v="O"/>
    <s v="12/3~"/>
    <s v="32,42"/>
    <n v="312"/>
    <m/>
  </r>
  <r>
    <s v="아파트"/>
    <n v="1"/>
    <s v="대봉교역태왕아너스"/>
    <n v="1982"/>
    <x v="10"/>
    <s v="남"/>
    <s v="이천"/>
    <s v="이천"/>
    <n v="11"/>
    <s v="O"/>
    <s v="12/1~"/>
    <s v="24,32,33"/>
    <n v="412"/>
    <m/>
  </r>
  <r>
    <s v="아파트"/>
    <n v="1"/>
    <s v="대구상인청구타운"/>
    <n v="1993"/>
    <x v="10"/>
    <s v="달서"/>
    <s v="상인"/>
    <s v="상인"/>
    <n v="12"/>
    <s v="O"/>
    <s v="12/1~"/>
    <s v="25,32,47"/>
    <n v="41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대구범어노르웨이숲"/>
    <n v="2006"/>
    <x v="10"/>
    <s v="수성"/>
    <s v="범어"/>
    <s v="범어"/>
    <n v="14"/>
    <s v="O"/>
    <s v="12/5~"/>
    <s v="34~101"/>
    <n v="57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수성그린타운"/>
    <n v="2005"/>
    <x v="10"/>
    <s v="수성"/>
    <s v="수성동1가"/>
    <s v="수성동1가"/>
    <n v="6"/>
    <s v="O"/>
    <s v="12/1~"/>
    <s v="23~44"/>
    <n v="201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대구청운맨션"/>
    <n v="1986"/>
    <x v="10"/>
    <s v="중"/>
    <s v="대봉"/>
    <s v="대봉"/>
    <n v="27"/>
    <s v="O"/>
    <s v="12/2~"/>
    <s v="32~68"/>
    <n v="669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상인동화태왕한양타운"/>
    <n v="1993"/>
    <x v="10"/>
    <s v="달서"/>
    <s v="상인"/>
    <s v="상인"/>
    <n v="18"/>
    <s v="O"/>
    <s v="12/2~"/>
    <s v="24,30"/>
    <n v="70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성서한마음타운"/>
    <n v="1997"/>
    <x v="10"/>
    <s v="달서"/>
    <s v="용산"/>
    <s v="용산"/>
    <n v="27"/>
    <s v="O"/>
    <s v="12/2~"/>
    <s v="23,31"/>
    <n v="996"/>
    <s v="온라인(유통) : 쿠팡 , 롯데온 , 마켓컬리 , 오아시스 , B마트(배민은 가능)   //   대형마트 : 홈플러스 / 롯데마트 / 메가마트 / GS슈퍼 / 롯데슈퍼 / 홈플러스익스프레스"/>
  </r>
  <r>
    <s v="주상복합"/>
    <n v="1"/>
    <s v="반월당효성해링턴플레이스"/>
    <n v="2014"/>
    <x v="10"/>
    <s v="중"/>
    <s v="남산"/>
    <s v="남산"/>
    <n v="13"/>
    <s v="O"/>
    <s v="12/3~"/>
    <s v="34~47"/>
    <n v="499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이안센트럴D"/>
    <n v="2021"/>
    <x v="10"/>
    <s v="동"/>
    <s v="신암"/>
    <s v="신암"/>
    <n v="26"/>
    <s v="O"/>
    <s v="12/1~"/>
    <s v="평형X"/>
    <n v="999"/>
    <m/>
  </r>
  <r>
    <s v="아파트"/>
    <n v="1"/>
    <s v="시지반도유보라"/>
    <n v="2012"/>
    <x v="10"/>
    <s v="수성"/>
    <s v="신매"/>
    <s v="신매"/>
    <n v="9"/>
    <s v="O"/>
    <s v="12/1~"/>
    <s v="34,37,54"/>
    <n v="262"/>
    <m/>
  </r>
  <r>
    <s v="아파트"/>
    <n v="1"/>
    <s v="해링턴플레이스만촌"/>
    <n v="2023"/>
    <x v="10"/>
    <s v="수성"/>
    <s v="만촌"/>
    <s v="만촌"/>
    <n v="6"/>
    <s v="O"/>
    <s v="12/1~"/>
    <n v="34"/>
    <n v="152"/>
    <m/>
  </r>
  <r>
    <s v="아파트"/>
    <n v="1"/>
    <s v="래미안범어"/>
    <n v="2008"/>
    <x v="10"/>
    <s v="수성"/>
    <s v="범어"/>
    <s v="범어"/>
    <n v="13"/>
    <s v="O"/>
    <s v="12/1~"/>
    <s v="38,40,46,47,48,49,50,51,55"/>
    <n v="467"/>
    <m/>
  </r>
  <r>
    <s v="주상복합"/>
    <n v="1"/>
    <s v="침산화성파크드림of"/>
    <n v="2010"/>
    <x v="10"/>
    <s v="북"/>
    <s v="침산"/>
    <s v="침산"/>
    <n v="4"/>
    <s v="O"/>
    <s v="12/1~"/>
    <s v="18~56"/>
    <n v="1640"/>
    <m/>
  </r>
  <r>
    <s v="아파트"/>
    <n v="1"/>
    <s v="중산하늘채더퍼스트"/>
    <n v="2021"/>
    <x v="11"/>
    <s v="경산"/>
    <s v="중산"/>
    <s v="중산"/>
    <n v="23"/>
    <s v="O"/>
    <s v="11/29~"/>
    <s v="31~41"/>
    <n v="118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김천부곡아주아트빌"/>
    <n v="2002"/>
    <x v="11"/>
    <s v="김천"/>
    <s v="부곡"/>
    <s v="부곡"/>
    <n v="11"/>
    <s v="O"/>
    <s v="11/29~"/>
    <s v="26,36"/>
    <n v="43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구미구포성원"/>
    <n v="1998"/>
    <x v="11"/>
    <s v="구미"/>
    <s v="구포"/>
    <s v="구포"/>
    <n v="36"/>
    <s v="O"/>
    <s v="11/29~"/>
    <s v="23~33"/>
    <n v="128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창포아이파크2차"/>
    <n v="2005"/>
    <x v="11"/>
    <s v="포항"/>
    <s v="북"/>
    <s v="두호"/>
    <n v="11"/>
    <s v="O"/>
    <s v="11/29~"/>
    <s v="35,42,52"/>
    <n v="49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부산해운대이안"/>
    <n v="2006"/>
    <x v="12"/>
    <s v="해운대"/>
    <s v="중"/>
    <s v="중제1"/>
    <n v="10"/>
    <s v="O"/>
    <s v="12/3~"/>
    <s v="25~35"/>
    <n v="450"/>
    <m/>
  </r>
  <r>
    <s v="아파트"/>
    <n v="1"/>
    <s v="부산더샵센텀파크2차"/>
    <n v="2005"/>
    <x v="12"/>
    <s v="해운대"/>
    <s v="재송"/>
    <s v="재송제1"/>
    <n v="17"/>
    <s v="O"/>
    <s v="12/22~"/>
    <s v="35~51"/>
    <n v="998"/>
    <m/>
  </r>
  <r>
    <s v="아파트"/>
    <n v="1"/>
    <s v="부산해운대우신골든빌"/>
    <n v="2006"/>
    <x v="12"/>
    <s v="해운대"/>
    <s v="재송"/>
    <s v="재송제2"/>
    <n v="20"/>
    <s v="O"/>
    <s v="12/1~"/>
    <s v="26,30,33"/>
    <n v="846"/>
    <m/>
  </r>
  <r>
    <s v="아파트"/>
    <n v="1"/>
    <s v="부산연산자이"/>
    <n v="2010"/>
    <x v="12"/>
    <s v="연제"/>
    <s v="연산"/>
    <s v="연산제1"/>
    <n v="32"/>
    <s v="O"/>
    <s v="12/3~"/>
    <s v="32~91"/>
    <n v="1598"/>
    <m/>
  </r>
  <r>
    <s v="주상복합"/>
    <n v="1"/>
    <s v="부산해운대센텀스타"/>
    <n v="2008"/>
    <x v="12"/>
    <s v="해운대"/>
    <s v="재송"/>
    <s v="재송제1"/>
    <n v="20"/>
    <s v="O"/>
    <s v="12/22~"/>
    <s v="39,96"/>
    <n v="848"/>
    <m/>
  </r>
  <r>
    <s v="아파트"/>
    <n v="1"/>
    <s v="부산해운대마스터"/>
    <n v="2005"/>
    <x v="12"/>
    <s v="해운대"/>
    <s v="좌"/>
    <s v="좌제1"/>
    <n v="5"/>
    <s v="O"/>
    <s v="12/1~"/>
    <n v="32"/>
    <n v="200"/>
    <m/>
  </r>
  <r>
    <s v="아파트"/>
    <n v="1"/>
    <s v="부산센텀동부센트레빌"/>
    <n v="2006"/>
    <x v="12"/>
    <s v="해운대"/>
    <s v="재송"/>
    <s v="재송제1"/>
    <n v="20"/>
    <s v="O"/>
    <s v="12/1~"/>
    <s v="33~45"/>
    <n v="703"/>
    <m/>
  </r>
  <r>
    <s v="아파트"/>
    <n v="1"/>
    <s v="부산센텀비치푸르지오"/>
    <n v="2003"/>
    <x v="12"/>
    <s v="수영"/>
    <s v="민락동"/>
    <s v="민락동"/>
    <n v="24"/>
    <s v="O"/>
    <s v="12/1~"/>
    <s v="32~48"/>
    <n v="1082"/>
    <s v="종교광고"/>
  </r>
  <r>
    <s v="아파트"/>
    <n v="1"/>
    <s v="부산해운대달맞이유림"/>
    <n v="2017"/>
    <x v="12"/>
    <s v="해운대"/>
    <s v="중"/>
    <s v="중제2"/>
    <n v="12"/>
    <s v="O"/>
    <s v="12/1~"/>
    <s v="23~55"/>
    <n v="364"/>
    <m/>
  </r>
  <r>
    <s v="오피스텔"/>
    <n v="1"/>
    <s v="부산WBC더팰레스of"/>
    <n v="2011"/>
    <x v="12"/>
    <s v="해운대"/>
    <s v="우"/>
    <s v="우2"/>
    <n v="12"/>
    <s v="O"/>
    <s v="12/19~"/>
    <n v="124"/>
    <n v="288"/>
    <m/>
  </r>
  <r>
    <s v="아파트"/>
    <n v="1"/>
    <s v="부산해운대센텀리슈빌"/>
    <n v="2017"/>
    <x v="12"/>
    <s v="해운대"/>
    <s v="재송"/>
    <s v="재송1"/>
    <n v="14"/>
    <s v="O"/>
    <s v="12/1~"/>
    <s v="17~43"/>
    <n v="753"/>
    <m/>
  </r>
  <r>
    <s v="아파트"/>
    <n v="1"/>
    <s v="부산대연힐스테이트"/>
    <n v="2013"/>
    <x v="12"/>
    <s v="남"/>
    <s v="대연"/>
    <s v="대연"/>
    <n v="45"/>
    <s v="O"/>
    <s v="12/8~"/>
    <s v="24~66"/>
    <n v="2304"/>
    <m/>
  </r>
  <r>
    <s v="아파트"/>
    <n v="1"/>
    <s v="부산해운대KCC스위첸"/>
    <n v="2011"/>
    <x v="12"/>
    <s v="해운대"/>
    <s v="좌"/>
    <s v="좌"/>
    <n v="8"/>
    <s v="O"/>
    <s v="12/5~"/>
    <s v="31~83"/>
    <n v="415"/>
    <m/>
  </r>
  <r>
    <s v="아파트"/>
    <n v="1"/>
    <s v="부산더샵센트럴스타"/>
    <n v="2011"/>
    <x v="12"/>
    <s v="진"/>
    <s v="부전"/>
    <s v="부전"/>
    <n v="40"/>
    <s v="O"/>
    <s v="12/1~"/>
    <s v="33~120"/>
    <n v="1679"/>
    <m/>
  </r>
  <r>
    <s v="아파트"/>
    <n v="1"/>
    <s v="부산수영SK뷰1"/>
    <n v="2019"/>
    <x v="12"/>
    <s v="수영"/>
    <s v="망미"/>
    <s v="망미"/>
    <n v="21"/>
    <s v="O"/>
    <s v="12/1~"/>
    <s v="24~35"/>
    <n v="1147"/>
    <m/>
  </r>
  <r>
    <s v="아파트"/>
    <n v="1"/>
    <s v="부산민락롯데캐슬자이언트"/>
    <n v="2003"/>
    <x v="12"/>
    <s v="수영"/>
    <s v="민락"/>
    <s v="민락"/>
    <n v="12"/>
    <s v="O"/>
    <s v="12/1~"/>
    <s v="33~59"/>
    <n v="591"/>
    <m/>
  </r>
  <r>
    <s v="아파트"/>
    <n v="1"/>
    <s v="부산해운대롯데3차"/>
    <n v="2003"/>
    <x v="12"/>
    <s v="해운대"/>
    <s v="좌동"/>
    <s v="좌동"/>
    <n v="21"/>
    <s v="O"/>
    <s v="12/1~"/>
    <n v="24"/>
    <n v="824"/>
    <m/>
  </r>
  <r>
    <s v="아파트"/>
    <n v="1"/>
    <s v="신개금엘지아파트"/>
    <n v="1998"/>
    <x v="12"/>
    <s v="진"/>
    <s v="개금"/>
    <s v="개금"/>
    <n v="54"/>
    <s v="O"/>
    <s v="12/1~"/>
    <s v="24~60"/>
    <n v="2510"/>
    <m/>
  </r>
  <r>
    <s v="아파트"/>
    <n v="1"/>
    <s v="백양디이스트아파트"/>
    <n v="1997"/>
    <x v="12"/>
    <s v="북"/>
    <s v="만덕"/>
    <s v="만덕"/>
    <n v="74"/>
    <s v="O"/>
    <s v="12/1~"/>
    <s v="24~45"/>
    <n v="3160"/>
    <m/>
  </r>
  <r>
    <s v="아파트"/>
    <n v="1"/>
    <s v="해운대중동금호어울림"/>
    <n v="2005"/>
    <x v="12"/>
    <s v="해운대"/>
    <s v="중동"/>
    <s v="중동"/>
    <n v="7"/>
    <s v="O"/>
    <s v="12/1~"/>
    <n v="32"/>
    <n v="320"/>
    <m/>
  </r>
  <r>
    <s v="아파트"/>
    <n v="1"/>
    <s v="해운대센트럴파크"/>
    <n v="2013"/>
    <x v="12"/>
    <s v="해운대"/>
    <s v="좌동"/>
    <s v="좌동"/>
    <n v="16"/>
    <s v="O"/>
    <s v="12/1~"/>
    <s v="17,21,23"/>
    <n v="799"/>
    <m/>
  </r>
  <r>
    <s v="아파트"/>
    <n v="1"/>
    <s v="센텀비스타동원아파트"/>
    <n v="1998"/>
    <x v="12"/>
    <s v="수영"/>
    <s v="민락"/>
    <s v="민락"/>
    <n v="18"/>
    <s v="O"/>
    <s v="12/8~"/>
    <s v="33,34,42"/>
    <n v="840"/>
    <m/>
  </r>
  <r>
    <s v="아파트"/>
    <n v="1"/>
    <s v="센텀센시빌"/>
    <n v="2006"/>
    <x v="12"/>
    <s v="해운대"/>
    <s v="우동"/>
    <s v="우동"/>
    <n v="14"/>
    <s v="O"/>
    <s v="12/1~"/>
    <n v="32"/>
    <n v="800"/>
    <m/>
  </r>
  <r>
    <s v="아파트"/>
    <n v="1"/>
    <s v="부산동래롯데캐슬퀸"/>
    <n v="2019"/>
    <x v="12"/>
    <s v="동래"/>
    <s v="명륜"/>
    <s v="명륜"/>
    <n v="4"/>
    <s v="O"/>
    <s v="12/1~"/>
    <s v="33~56"/>
    <n v="210"/>
    <m/>
  </r>
  <r>
    <s v="아파트"/>
    <n v="1"/>
    <s v="부산반도스카이뷰"/>
    <n v="2021"/>
    <x v="12"/>
    <s v="동래"/>
    <s v="온천"/>
    <s v="온천제3"/>
    <n v="43"/>
    <s v="O"/>
    <s v="12/1~"/>
    <s v="33,34,36,40,47,49,65,68"/>
    <n v="1149"/>
    <m/>
  </r>
  <r>
    <s v="아파트"/>
    <n v="1"/>
    <s v="해운대LIG건영아파트"/>
    <n v="2017"/>
    <x v="12"/>
    <s v="해운대"/>
    <s v="좌동"/>
    <s v="좌동"/>
    <n v="19"/>
    <s v="O"/>
    <s v="12/1~"/>
    <s v="22~63"/>
    <n v="788"/>
    <m/>
  </r>
  <r>
    <s v="아파트"/>
    <n v="1"/>
    <s v="롯데캐슬마린아파트"/>
    <n v="2004"/>
    <x v="12"/>
    <s v="해운대"/>
    <s v="중동"/>
    <s v="중동"/>
    <n v="13"/>
    <s v="O"/>
    <s v="12/8~"/>
    <s v="32,38,47"/>
    <n v="792"/>
    <m/>
  </r>
  <r>
    <s v="아파트"/>
    <n v="1"/>
    <s v="대연파크푸르지오"/>
    <n v="2010"/>
    <x v="12"/>
    <s v="남"/>
    <s v="대연"/>
    <s v="대연"/>
    <n v="36"/>
    <s v="O"/>
    <s v="12/1~"/>
    <s v="17~39"/>
    <n v="1422"/>
    <m/>
  </r>
  <r>
    <s v="아파트"/>
    <n v="1"/>
    <s v="해운대두산2차"/>
    <n v="2015"/>
    <x v="12"/>
    <s v="해운대"/>
    <s v="좌동"/>
    <s v="좌동"/>
    <n v="16"/>
    <s v="O"/>
    <s v="12/1~"/>
    <s v="22,31,50"/>
    <n v="632"/>
    <m/>
  </r>
  <r>
    <s v="오피스텔"/>
    <n v="1"/>
    <s v="해운대쌍용플래티넘트윈"/>
    <n v="2005"/>
    <x v="12"/>
    <s v="해운대"/>
    <s v="좌동"/>
    <s v="좌동"/>
    <n v="4"/>
    <s v="O"/>
    <s v="12/1~"/>
    <s v="10~30"/>
    <n v="500"/>
    <m/>
  </r>
  <r>
    <s v="아파트"/>
    <n v="1"/>
    <s v="동래센트럴파크하이츠2단지"/>
    <n v="2002"/>
    <x v="12"/>
    <s v="동래"/>
    <s v="명륜"/>
    <s v="명륜"/>
    <n v="17"/>
    <s v="O"/>
    <s v="12/1~"/>
    <s v="33~65"/>
    <n v="680"/>
    <m/>
  </r>
  <r>
    <s v="아파트"/>
    <n v="1"/>
    <s v="벽산블루밍장전디자인시티"/>
    <n v="2002"/>
    <x v="12"/>
    <s v="금정"/>
    <s v="장전"/>
    <s v="장전"/>
    <n v="40"/>
    <s v="O"/>
    <s v="12/1~"/>
    <s v="26~63"/>
    <n v="1539"/>
    <m/>
  </r>
  <r>
    <s v="아파트"/>
    <n v="1"/>
    <s v="해운대삼성"/>
    <n v="1998"/>
    <x v="12"/>
    <s v="해운대"/>
    <s v="좌동"/>
    <s v="좌동"/>
    <n v="17"/>
    <s v="O"/>
    <s v="12/1~"/>
    <s v="23~59"/>
    <n v="728"/>
    <m/>
  </r>
  <r>
    <s v="주상복합"/>
    <n v="1"/>
    <s v="해운대롯데캐슬스타"/>
    <n v="2015"/>
    <x v="12"/>
    <s v="해운대"/>
    <s v="중동"/>
    <s v="중동"/>
    <n v="14"/>
    <s v="O"/>
    <s v="12/8~"/>
    <s v="35,39"/>
    <n v="828"/>
    <m/>
  </r>
  <r>
    <s v="아파트"/>
    <n v="1"/>
    <s v="해운대신시가지경동메르빌"/>
    <n v="2003"/>
    <x v="12"/>
    <s v="해운대"/>
    <s v="중동"/>
    <s v="중동"/>
    <n v="6"/>
    <s v="O"/>
    <s v="12/1~"/>
    <s v="23~44"/>
    <n v="203"/>
    <m/>
  </r>
  <r>
    <s v="아파트"/>
    <n v="1"/>
    <s v="해운대LH뜨란채"/>
    <n v="2002"/>
    <x v="12"/>
    <s v="해운대"/>
    <s v="좌동"/>
    <s v="좌동"/>
    <n v="20"/>
    <s v="O"/>
    <s v="12/1~"/>
    <s v="21,23"/>
    <n v="928"/>
    <m/>
  </r>
  <r>
    <s v="아파트"/>
    <n v="1"/>
    <s v="해운대SKVIEW아파트"/>
    <n v="2021"/>
    <x v="12"/>
    <s v="해운대"/>
    <s v="중"/>
    <s v="중"/>
    <n v="4"/>
    <s v="O"/>
    <s v="12/1~"/>
    <s v="33, 54"/>
    <n v="183"/>
    <m/>
  </r>
  <r>
    <s v="아파트"/>
    <n v="1"/>
    <s v="롯데캐슬골드2단지"/>
    <s v="-"/>
    <x v="12"/>
    <s v="금정"/>
    <s v="구서"/>
    <s v="구서"/>
    <n v="44"/>
    <s v="O"/>
    <s v="12/1~"/>
    <s v="24~81"/>
    <n v="1926"/>
    <m/>
  </r>
  <r>
    <s v="아파트"/>
    <n v="1"/>
    <s v="센텀경동리인아파트"/>
    <s v="-"/>
    <x v="12"/>
    <s v="해운대"/>
    <s v="우"/>
    <s v="우"/>
    <n v="6"/>
    <s v="O"/>
    <s v="12/1~"/>
    <s v="31,32"/>
    <n v="232"/>
    <m/>
  </r>
  <r>
    <s v="아파트"/>
    <n v="1"/>
    <s v="포레나부산덕천아파트"/>
    <n v="2014"/>
    <x v="12"/>
    <s v="북"/>
    <s v="덕천"/>
    <s v="덕천"/>
    <n v="19"/>
    <s v="O"/>
    <s v="12/1~"/>
    <s v="24,30,33"/>
    <n v="636"/>
    <m/>
  </r>
  <r>
    <s v="아파트"/>
    <n v="1"/>
    <s v="e편한세상오션테라스4단지"/>
    <n v="1992"/>
    <x v="12"/>
    <s v="수영"/>
    <s v="민락"/>
    <s v="민락"/>
    <n v="27"/>
    <s v="O"/>
    <s v="12/1~"/>
    <s v="32,33,35,44,62,63"/>
    <n v="1038"/>
    <m/>
  </r>
  <r>
    <s v="아파트"/>
    <n v="1"/>
    <s v="동래래미안아이파크아파트"/>
    <n v="2008"/>
    <x v="12"/>
    <s v="동래"/>
    <s v="온천"/>
    <s v="온천"/>
    <n v="100"/>
    <s v="O"/>
    <s v="12/5~"/>
    <s v="25,26,31,34,36,39,44"/>
    <n v="3853"/>
    <m/>
  </r>
  <r>
    <s v="아파트"/>
    <n v="1"/>
    <s v="연산동일동미라주더스타"/>
    <n v="2022"/>
    <x v="12"/>
    <s v="연제"/>
    <s v="연산"/>
    <s v="연산"/>
    <n v="11"/>
    <s v="O"/>
    <s v="12/1~"/>
    <s v="16,18,29,32"/>
    <n v="624"/>
    <m/>
  </r>
  <r>
    <s v="오피스텔"/>
    <n v="1"/>
    <s v="SKHUBSKY"/>
    <n v="2003"/>
    <x v="12"/>
    <s v="동래"/>
    <s v="온청"/>
    <s v="온청"/>
    <n v="22"/>
    <s v="O"/>
    <s v="12/1~"/>
    <s v="15~96"/>
    <n v="840"/>
    <m/>
  </r>
  <r>
    <s v="아파트"/>
    <n v="1"/>
    <s v="청학영도신도브래뉴"/>
    <n v="2022"/>
    <x v="12"/>
    <s v="영도"/>
    <s v="청학"/>
    <s v="청학"/>
    <n v="12"/>
    <s v="O"/>
    <s v="12/1~"/>
    <s v="26,33,45"/>
    <n v="508"/>
    <m/>
  </r>
  <r>
    <s v="아파트"/>
    <n v="1"/>
    <s v="래미안어반파크"/>
    <n v="2022"/>
    <x v="12"/>
    <s v="부산진"/>
    <s v="연지"/>
    <s v="연지"/>
    <n v="80"/>
    <s v="O"/>
    <s v="12/1~"/>
    <s v="23~55"/>
    <n v="2616"/>
    <m/>
  </r>
  <r>
    <s v="아파트"/>
    <n v="1"/>
    <s v="e편한세상시민공원아파트"/>
    <n v="2022"/>
    <x v="12"/>
    <s v="부산진"/>
    <s v="전포"/>
    <s v="전포"/>
    <n v="33"/>
    <s v="O"/>
    <s v="12/1~"/>
    <s v="24,30,34,40"/>
    <n v="1401"/>
    <m/>
  </r>
  <r>
    <s v="아파트"/>
    <n v="1"/>
    <s v="해운대아이파크"/>
    <n v="2020"/>
    <x v="12"/>
    <s v="해운대"/>
    <s v="우"/>
    <s v="우"/>
    <n v="5"/>
    <s v="O"/>
    <s v="12/5~"/>
    <s v="35~128"/>
    <n v="56"/>
    <m/>
  </r>
  <r>
    <s v="아파트"/>
    <n v="1"/>
    <s v="정관동일스위트3차"/>
    <n v="2023"/>
    <x v="12"/>
    <s v="기장"/>
    <s v="정관"/>
    <s v="모전"/>
    <n v="39"/>
    <s v="O"/>
    <s v="12/1~"/>
    <s v="26,29,33,39"/>
    <n v="1500"/>
    <m/>
  </r>
  <r>
    <s v="아파트"/>
    <n v="1"/>
    <s v="가야롯데캐슬골드아너"/>
    <n v="2023"/>
    <x v="12"/>
    <s v="부산진"/>
    <s v="가야"/>
    <s v="가야"/>
    <n v="17"/>
    <s v="O"/>
    <s v="12/1~"/>
    <s v="15,25,34,41"/>
    <n v="935"/>
    <m/>
  </r>
  <r>
    <s v="아파트"/>
    <n v="1"/>
    <s v="두산1차"/>
    <n v="2019"/>
    <x v="12"/>
    <s v="해운대"/>
    <s v="좌"/>
    <s v="좌"/>
    <n v="33"/>
    <s v="O"/>
    <s v="12/3~"/>
    <s v="22,32,38,51"/>
    <n v="1422"/>
    <m/>
  </r>
  <r>
    <s v="주상복합"/>
    <n v="1"/>
    <s v="해운대센트럴푸르지오"/>
    <n v="1996"/>
    <x v="12"/>
    <s v="해운대"/>
    <s v="우"/>
    <s v="우"/>
    <n v="4"/>
    <s v="O"/>
    <s v="12/1~"/>
    <n v="34"/>
    <n v="548"/>
    <m/>
  </r>
  <r>
    <s v="아파트"/>
    <n v="1"/>
    <s v="대우1차아파트"/>
    <n v="2023"/>
    <x v="12"/>
    <s v="해운대"/>
    <s v="좌"/>
    <s v="좌"/>
    <n v="21"/>
    <s v="O"/>
    <s v="12/1~"/>
    <s v="24,32,37,48,55"/>
    <n v="852"/>
    <m/>
  </r>
  <r>
    <s v="아파트"/>
    <n v="1"/>
    <s v="이진젠시티"/>
    <n v="2022"/>
    <x v="12"/>
    <s v="부산진"/>
    <s v="개금"/>
    <s v="개금"/>
    <n v="15"/>
    <s v="O"/>
    <s v="12/1~"/>
    <s v="평형X"/>
    <n v="835"/>
    <m/>
  </r>
  <r>
    <s v="아파트"/>
    <n v="1"/>
    <s v="메가센텀꿈에그린아파트"/>
    <n v="2014"/>
    <x v="12"/>
    <s v="해운대"/>
    <s v="반여"/>
    <s v="반여"/>
    <n v="39"/>
    <s v="O"/>
    <s v="12/5~"/>
    <s v="33,39,46,49,52"/>
    <n v="1564"/>
    <m/>
  </r>
  <r>
    <s v="아파트"/>
    <n v="1"/>
    <s v="남천자이아파트"/>
    <n v="1998"/>
    <x v="12"/>
    <s v="수영"/>
    <s v="남천"/>
    <s v="남천"/>
    <n v="27"/>
    <s v="O"/>
    <s v="12/16~"/>
    <s v="23~49"/>
    <n v="913"/>
    <m/>
  </r>
  <r>
    <s v="오피스텔"/>
    <n v="1"/>
    <s v="롯데갤러리움센텀오피스텔"/>
    <n v="2021"/>
    <x v="12"/>
    <s v="해운대"/>
    <s v="우"/>
    <s v="우"/>
    <n v="12"/>
    <s v="O"/>
    <s v="12/3~"/>
    <s v="53,67,73,80,90"/>
    <n v="466"/>
    <m/>
  </r>
  <r>
    <s v="아파트"/>
    <n v="1"/>
    <s v="서면아이파크아파트"/>
    <n v="2009"/>
    <x v="12"/>
    <s v="부산진"/>
    <s v="동성"/>
    <s v="전포"/>
    <n v="50"/>
    <s v="O"/>
    <s v="12/1~"/>
    <s v="19,23,36,30,34,39"/>
    <n v="1862"/>
    <m/>
  </r>
  <r>
    <s v="아파트"/>
    <n v="1"/>
    <s v="해운대더샵센텀그린"/>
    <n v="1999"/>
    <x v="12"/>
    <s v="해운대"/>
    <s v="반여"/>
    <s v="반여"/>
    <n v="10"/>
    <s v="O"/>
    <s v="12/1~"/>
    <s v="25,29"/>
    <n v="464"/>
    <m/>
  </r>
  <r>
    <s v="아파트"/>
    <n v="1"/>
    <s v="대연자이아파트"/>
    <n v="2010"/>
    <x v="12"/>
    <s v="남"/>
    <s v="대연"/>
    <s v="대연"/>
    <n v="24"/>
    <s v="O"/>
    <s v="12/1~"/>
    <s v="17,22,25,26,29,33,34"/>
    <n v="965"/>
    <m/>
  </r>
  <r>
    <s v="아파트"/>
    <n v="1"/>
    <s v="명륜자이"/>
    <n v="2023"/>
    <x v="12"/>
    <s v="동래"/>
    <s v="명륜"/>
    <s v="명륜"/>
    <n v="16"/>
    <s v="O"/>
    <s v="12/5~"/>
    <s v="24,31"/>
    <n v="671"/>
    <m/>
  </r>
  <r>
    <s v="아파트"/>
    <n v="1"/>
    <s v="부산사직KCC스위첸"/>
    <n v="2016"/>
    <x v="12"/>
    <s v="동래"/>
    <s v="사직"/>
    <s v="사직"/>
    <n v="21"/>
    <s v="O"/>
    <s v="12/1~"/>
    <s v="23~33"/>
    <n v="999"/>
    <s v="온라인(유통) : 쿠팡 , 롯데온 , 마켓컬리 , 오아시스 , B마트(배민은 가능)   //   대형마트 : 홈플러스 / 롯데마트 / 메가마트 / GS슈퍼 / 롯데슈퍼 / 홈플러스익스프레스"/>
  </r>
  <r>
    <s v="주상복합"/>
    <n v="1"/>
    <s v="부산해운대양우내안애"/>
    <n v="2013"/>
    <x v="12"/>
    <s v="해운대"/>
    <s v="중"/>
    <s v="중"/>
    <n v="6"/>
    <s v="O"/>
    <s v="12/2~"/>
    <s v="30~33"/>
    <n v="14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부산동원화인패밀리타운"/>
    <n v="1995"/>
    <x v="12"/>
    <s v="진"/>
    <s v="개금"/>
    <s v="개금"/>
    <n v="19"/>
    <s v="O"/>
    <s v="12/1~"/>
    <s v="31,42,46"/>
    <n v="89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부산동래삼정그린코아"/>
    <n v="2003"/>
    <x v="12"/>
    <s v="동래"/>
    <s v="온천"/>
    <s v="온천"/>
    <n v="14"/>
    <s v="O"/>
    <s v="12/1~"/>
    <s v="23~45"/>
    <n v="49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부산만덕3휴먼시아"/>
    <n v="2009"/>
    <x v="12"/>
    <s v="북"/>
    <s v="만덕"/>
    <s v="만덕"/>
    <n v="10"/>
    <s v="O"/>
    <s v="12/1~"/>
    <s v="21~31"/>
    <n v="40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부산동원듀크빌리지"/>
    <n v="2003"/>
    <x v="12"/>
    <s v="해운대"/>
    <s v="좌동"/>
    <s v="좌동"/>
    <n v="29"/>
    <s v="O"/>
    <s v="12/2~"/>
    <s v="32,33"/>
    <n v="26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부산아시아드코오롱"/>
    <n v="2019"/>
    <x v="12"/>
    <s v="연제"/>
    <s v="거제"/>
    <s v="거제"/>
    <n v="18"/>
    <s v="O"/>
    <s v="12/2~"/>
    <s v="34,35"/>
    <n v="66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해운대센텀두산위브"/>
    <n v="2000"/>
    <x v="12"/>
    <s v="해운대"/>
    <s v="우동"/>
    <s v="우동"/>
    <n v="12"/>
    <s v="O"/>
    <s v="12/5~"/>
    <s v="23,34,35,40,45,47"/>
    <n v="581"/>
    <m/>
  </r>
  <r>
    <s v="아파트"/>
    <n v="1"/>
    <s v="더샵남천프레스티지아파트"/>
    <n v="2017"/>
    <x v="12"/>
    <s v="수영"/>
    <s v="남천"/>
    <s v="남천"/>
    <n v="34"/>
    <s v="O"/>
    <s v="12/5~"/>
    <s v="27,34,35,38,40,41"/>
    <n v="975"/>
    <m/>
  </r>
  <r>
    <s v="아파트"/>
    <n v="1"/>
    <s v="가야센트레빌"/>
    <n v="2022"/>
    <x v="12"/>
    <s v="부산진"/>
    <s v="가야"/>
    <s v="가야"/>
    <n v="6"/>
    <s v="O"/>
    <s v="12/1~"/>
    <s v="31,35,36,57"/>
    <n v="212"/>
    <m/>
  </r>
  <r>
    <s v="아파트"/>
    <n v="1"/>
    <s v="센텀KCC스위첸아파트"/>
    <n v="1996"/>
    <x v="12"/>
    <s v="해운대"/>
    <s v="반여"/>
    <s v="반여"/>
    <n v="15"/>
    <s v="O"/>
    <s v="12/1~"/>
    <s v="24,26,34,41"/>
    <n v="638"/>
    <m/>
  </r>
  <r>
    <s v="아파트"/>
    <n v="1"/>
    <s v="포레나동래아파트"/>
    <n v="2023"/>
    <x v="12"/>
    <s v="동래"/>
    <s v="낙민"/>
    <s v="낙민"/>
    <n v="16"/>
    <s v="O"/>
    <s v="12/1~"/>
    <n v="34"/>
    <n v="732"/>
    <m/>
  </r>
  <r>
    <s v="아파트"/>
    <n v="1"/>
    <s v="더샵동래"/>
    <n v="2001"/>
    <x v="12"/>
    <s v="동래"/>
    <s v="온천"/>
    <s v="온천"/>
    <n v="14"/>
    <s v="O"/>
    <s v="12/1~"/>
    <s v="31,35,36"/>
    <n v="603"/>
    <m/>
  </r>
  <r>
    <s v="오피스텔"/>
    <n v="1"/>
    <s v="더샵동래오피스텔"/>
    <n v="2023"/>
    <x v="12"/>
    <s v="동래"/>
    <s v="온천"/>
    <s v="온천"/>
    <n v="3"/>
    <s v="O"/>
    <s v="12/1~"/>
    <s v="평형X"/>
    <n v="92"/>
    <m/>
  </r>
  <r>
    <s v="아파트"/>
    <n v="1"/>
    <s v="남천금호어울림더비치"/>
    <n v="2019"/>
    <x v="12"/>
    <s v="수영"/>
    <s v="남천"/>
    <s v="남천"/>
    <n v="12"/>
    <s v="O"/>
    <s v="12/1~"/>
    <s v="34,42"/>
    <n v="421"/>
    <m/>
  </r>
  <r>
    <s v="아파트"/>
    <n v="1"/>
    <s v="해운대LG아파트"/>
    <n v="1996"/>
    <x v="12"/>
    <s v="해운대"/>
    <s v="좌"/>
    <s v="좌"/>
    <n v="39"/>
    <s v="O"/>
    <s v="12/1~"/>
    <s v="21,24,32,38,43,48,57"/>
    <n v="1848"/>
    <m/>
  </r>
  <r>
    <s v="아파트"/>
    <n v="1"/>
    <s v="해운대자이"/>
    <n v="2013"/>
    <x v="12"/>
    <s v="해운대"/>
    <s v="우"/>
    <s v="우"/>
    <n v="24"/>
    <s v="O"/>
    <s v="12/5~"/>
    <s v="25,32,33,36,37,45"/>
    <n v="1059"/>
    <m/>
  </r>
  <r>
    <s v="아파트"/>
    <n v="1"/>
    <s v="해운대자이2차"/>
    <n v="2018"/>
    <x v="12"/>
    <s v="해운대"/>
    <s v="우"/>
    <s v="우"/>
    <n v="15"/>
    <s v="O"/>
    <s v="12/5~"/>
    <s v="25,30,33,34"/>
    <n v="813"/>
    <m/>
  </r>
  <r>
    <s v="아파트"/>
    <n v="1"/>
    <s v="더샵파크시티"/>
    <n v="2015"/>
    <x v="12"/>
    <s v="연제"/>
    <s v="연산"/>
    <s v="연산"/>
    <n v="34"/>
    <s v="O"/>
    <s v="12/1~"/>
    <s v="28,30,34,41,44"/>
    <n v="1758"/>
    <s v="이사로 인해 꺼둠 이사 후 정상작동 예정"/>
  </r>
  <r>
    <s v="아파트"/>
    <n v="1"/>
    <s v="힐스테이트명륜트라디움"/>
    <n v="2022"/>
    <x v="12"/>
    <s v="동래"/>
    <s v="명륜"/>
    <s v="명륜"/>
    <n v="25"/>
    <s v="O"/>
    <s v="12/1~"/>
    <s v="35,44,57"/>
    <n v="874"/>
    <m/>
  </r>
  <r>
    <s v="아파트"/>
    <n v="1"/>
    <s v="센텀비스타동원2차"/>
    <n v="2017"/>
    <x v="12"/>
    <s v="수영"/>
    <s v="민락"/>
    <s v="민락"/>
    <n v="8"/>
    <s v="O"/>
    <s v="12/1~"/>
    <n v="34"/>
    <n v="405"/>
    <m/>
  </r>
  <r>
    <s v="아파트"/>
    <n v="1"/>
    <s v="해운대반도보라빌"/>
    <n v="2006"/>
    <x v="12"/>
    <s v="해운대"/>
    <s v="우"/>
    <s v="우"/>
    <n v="12"/>
    <s v="O"/>
    <s v="12/1~"/>
    <s v="29,34,42"/>
    <n v="548"/>
    <m/>
  </r>
  <r>
    <s v="아파트"/>
    <n v="1"/>
    <s v="해운대힐스테이트위브"/>
    <n v="2015"/>
    <x v="12"/>
    <s v="해운대"/>
    <s v="중"/>
    <s v="중"/>
    <n v="67"/>
    <s v="O"/>
    <s v="12/5~"/>
    <s v="18~96"/>
    <n v="2369"/>
    <m/>
  </r>
  <r>
    <s v="아파트"/>
    <n v="1"/>
    <s v="대연롯데캐슬레전드"/>
    <n v="2018"/>
    <x v="12"/>
    <s v="남"/>
    <s v="대연"/>
    <s v="대연"/>
    <n v="59"/>
    <s v="O"/>
    <s v="12/5~"/>
    <s v="17,22,25,33,34,39,46"/>
    <n v="3149"/>
    <m/>
  </r>
  <r>
    <s v="아파트"/>
    <n v="1"/>
    <s v="김해센텀Q시티아파트"/>
    <n v="2014"/>
    <x v="13"/>
    <s v="김해"/>
    <s v="주촌"/>
    <s v="선지"/>
    <n v="36"/>
    <s v="O"/>
    <s v="11/29~"/>
    <s v="25,26,28,31,34"/>
    <n v="1518"/>
    <m/>
  </r>
  <r>
    <s v="아파트"/>
    <n v="1"/>
    <s v="창원센텀푸르지오"/>
    <n v="2018"/>
    <x v="13"/>
    <s v="창원"/>
    <s v="가음"/>
    <s v="가음"/>
    <n v="21"/>
    <s v="O"/>
    <s v="11/29~"/>
    <s v="25~39"/>
    <n v="975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일동한신"/>
    <n v="1999"/>
    <x v="13"/>
    <s v="김해"/>
    <s v="외"/>
    <s v="외"/>
    <n v="52"/>
    <s v="O"/>
    <s v="11/29~"/>
    <s v="22,26,30,34,41"/>
    <n v="174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쌍용더플래티넘김해아파트"/>
    <n v="2020"/>
    <x v="13"/>
    <s v="김해"/>
    <s v="외동"/>
    <s v="외동"/>
    <n v="7"/>
    <s v="O"/>
    <s v="11/29~"/>
    <s v="27,33"/>
    <n v="36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동일아파트"/>
    <n v="1995"/>
    <x v="13"/>
    <s v="김해"/>
    <s v="외"/>
    <s v="외"/>
    <n v="13"/>
    <s v="O"/>
    <s v="12/1~"/>
    <n v="21"/>
    <n v="375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가좌올리움"/>
    <n v="2012"/>
    <x v="13"/>
    <s v="진주"/>
    <s v="가호"/>
    <s v="가좌"/>
    <n v="8"/>
    <s v="O"/>
    <s v="11/29~"/>
    <s v="16,20,24"/>
    <n v="442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남양산역반도유보라아이비파크6.0아파트"/>
    <n v="2017"/>
    <x v="13"/>
    <s v="양산"/>
    <s v="동면"/>
    <s v="석산"/>
    <n v="20"/>
    <s v="O"/>
    <s v="11/29~"/>
    <s v="25,31,34"/>
    <n v="82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울산송정반도유보라"/>
    <n v="2016"/>
    <x v="14"/>
    <s v="북"/>
    <s v="송정"/>
    <s v="송정"/>
    <n v="24"/>
    <s v="O"/>
    <s v="11/27~"/>
    <s v="32,33"/>
    <n v="1162"/>
    <m/>
  </r>
  <r>
    <s v="아파트"/>
    <n v="1"/>
    <s v="학성파크디아채"/>
    <n v="2021"/>
    <x v="14"/>
    <s v="중"/>
    <s v="학성"/>
    <s v="학성"/>
    <n v="9"/>
    <s v="O"/>
    <s v="11/27~"/>
    <s v="30,34"/>
    <n v="346"/>
    <m/>
  </r>
  <r>
    <s v="아파트"/>
    <n v="1"/>
    <s v="서부성원상떼빌아파트"/>
    <s v="-"/>
    <x v="14"/>
    <s v="동"/>
    <s v="서부"/>
    <s v="서부"/>
    <n v="37"/>
    <s v="O"/>
    <s v="11/27~"/>
    <s v="22~43"/>
    <n v="1810"/>
    <m/>
  </r>
  <r>
    <s v="아파트"/>
    <n v="1"/>
    <s v="울산삼성래미안2차"/>
    <n v="2004"/>
    <x v="14"/>
    <s v="중"/>
    <s v="약사"/>
    <s v="약사"/>
    <n v="47"/>
    <s v="O"/>
    <s v="11/27~"/>
    <s v="33~54"/>
    <n v="100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울산현대패밀리서부"/>
    <n v="1992"/>
    <x v="14"/>
    <s v="동"/>
    <s v="서부"/>
    <s v="서부"/>
    <n v="44"/>
    <s v="O"/>
    <s v="11/27~"/>
    <s v="20~30"/>
    <n v="302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울산달동월드메르디앙"/>
    <n v="2008"/>
    <x v="14"/>
    <s v="남"/>
    <s v="달동"/>
    <s v="달동"/>
    <n v="6"/>
    <s v="O"/>
    <s v="11/27~"/>
    <s v="34,49"/>
    <n v="22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울산한라훼미리"/>
    <n v="1991"/>
    <x v="14"/>
    <s v="남"/>
    <s v="야음"/>
    <s v="야음"/>
    <n v="12"/>
    <s v="O"/>
    <s v="11/27~"/>
    <s v="27~34"/>
    <n v="31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현대패밀리명덕2차"/>
    <n v="1995"/>
    <x v="14"/>
    <s v="동"/>
    <s v="서부"/>
    <s v="서부"/>
    <n v="7"/>
    <s v="O"/>
    <s v="11/27~"/>
    <s v="20,24"/>
    <n v="48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힐스테이트이스턴베이"/>
    <n v="2015"/>
    <x v="14"/>
    <s v="동"/>
    <s v="화정"/>
    <s v="화정"/>
    <n v="41"/>
    <s v="O"/>
    <s v="11/27~"/>
    <s v="28,29,34,40"/>
    <n v="189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경동햇빛마을"/>
    <n v="2001"/>
    <x v="14"/>
    <s v="중"/>
    <s v="성안"/>
    <s v="성안"/>
    <n v="20"/>
    <s v="O"/>
    <s v="11/27~"/>
    <s v="25,31"/>
    <n v="32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한라그랜드"/>
    <n v="1994"/>
    <x v="14"/>
    <s v="중"/>
    <s v="반구"/>
    <s v="반구"/>
    <n v="4"/>
    <s v="O"/>
    <s v="11/27~"/>
    <s v="18,21,25,31"/>
    <n v="23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크로바아파트"/>
    <n v="1989"/>
    <x v="14"/>
    <s v="남"/>
    <s v="신정"/>
    <s v="신정"/>
    <n v="8"/>
    <s v="O"/>
    <s v="11/27~"/>
    <s v="33,37,54"/>
    <n v="233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태화선경"/>
    <n v="1990"/>
    <x v="14"/>
    <s v="중"/>
    <s v="태화"/>
    <s v="태화"/>
    <n v="7"/>
    <s v="O"/>
    <s v="11/27~"/>
    <s v="27,31"/>
    <n v="207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강변맨션"/>
    <n v="1986"/>
    <x v="14"/>
    <s v="중"/>
    <s v="태화"/>
    <s v="태화"/>
    <n v="5"/>
    <s v="O"/>
    <s v="11/27~"/>
    <s v="23~30"/>
    <n v="29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번영로하늘채센트럴파크"/>
    <n v="2022"/>
    <x v="14"/>
    <s v="남"/>
    <s v="야음"/>
    <s v="야음"/>
    <n v="21"/>
    <s v="O"/>
    <s v="11/27~"/>
    <s v="24,30,34"/>
    <n v="84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현대문화2차"/>
    <n v="1998"/>
    <x v="14"/>
    <s v="남"/>
    <s v="삼산"/>
    <s v="삼산"/>
    <n v="4"/>
    <s v="O"/>
    <s v="11/27~"/>
    <n v="25"/>
    <n v="350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서동현대"/>
    <n v="1992"/>
    <x v="14"/>
    <s v="중"/>
    <s v="서"/>
    <s v="서"/>
    <n v="4"/>
    <s v="O"/>
    <s v="11/28~"/>
    <n v="20"/>
    <n v="401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청암현대아파트"/>
    <n v="1997"/>
    <x v="14"/>
    <s v="남"/>
    <s v="옥"/>
    <s v="옥"/>
    <n v="4"/>
    <s v="O"/>
    <s v="11/27~"/>
    <s v="24,27,29"/>
    <n v="99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우정혁신호반베르디움"/>
    <n v="2014"/>
    <x v="14"/>
    <s v="중"/>
    <s v="태화"/>
    <s v="태화"/>
    <n v="9"/>
    <s v="O"/>
    <s v="11/27~"/>
    <n v="37"/>
    <n v="346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현대패밀리서부2차아파트"/>
    <n v="1995"/>
    <x v="14"/>
    <s v="동"/>
    <s v="방어"/>
    <s v="서부"/>
    <n v="17"/>
    <s v="O"/>
    <s v="11/27~"/>
    <s v="20,24,32"/>
    <n v="98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현대패밀리전하"/>
    <n v="1997"/>
    <x v="14"/>
    <s v="동"/>
    <s v="녹수"/>
    <s v="전하"/>
    <n v="18"/>
    <s v="O"/>
    <s v="11/27~"/>
    <n v="23"/>
    <n v="49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우정혁신도시1차동원로얄듀크아파트"/>
    <n v="2013"/>
    <x v="14"/>
    <s v="중"/>
    <s v="중구"/>
    <s v="종가"/>
    <n v="8"/>
    <s v="O"/>
    <s v="11/27~"/>
    <n v="33"/>
    <n v="309"/>
    <s v="온라인(유통) : 쿠팡 , 롯데온 , 마켓컬리 , 오아시스 , B마트(배민은 가능)   //   대형마트 : 홈플러스 / 롯데마트 / 메가마트 / GS슈퍼 / 롯데슈퍼 / 홈플러스익스프레스"/>
  </r>
  <r>
    <s v="오피스텔"/>
    <n v="1"/>
    <s v="울산타워더모스트오피스텔"/>
    <n v="2018"/>
    <x v="14"/>
    <s v="중"/>
    <s v="우정"/>
    <s v="우정"/>
    <n v="4"/>
    <s v="O"/>
    <s v="11/27~"/>
    <s v="11,14"/>
    <n v="648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덕정유림"/>
    <n v="1998"/>
    <x v="14"/>
    <s v="울주"/>
    <s v="쳥량"/>
    <s v="덕하"/>
    <n v="14"/>
    <s v="O"/>
    <s v="11/27~"/>
    <s v="24,31,37"/>
    <n v="664"/>
    <s v="온라인(유통) : 쿠팡 , 롯데온 , 마켓컬리 , 오아시스 , B마트(배민은 가능)   //   대형마트 : 홈플러스 / 롯데마트 / 메가마트 / GS슈퍼 / 롯데슈퍼 / 홈플러스익스프레스"/>
  </r>
  <r>
    <s v="아파트"/>
    <n v="1"/>
    <s v="한솔그린빌"/>
    <n v="2012"/>
    <x v="14"/>
    <s v="울주"/>
    <s v="웅천"/>
    <s v="대복"/>
    <n v="31"/>
    <s v="O"/>
    <s v="11/27~"/>
    <n v="20"/>
    <n v="123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outline="1" outlineData="1" multipleFieldFilters="0">
  <location ref="S7:U23" firstHeaderRow="0" firstDataRow="1" firstDataCol="1"/>
  <pivotFields count="14">
    <pivotField showAll="0"/>
    <pivotField dataField="1" numFmtId="41" showAll="0"/>
    <pivotField showAll="0"/>
    <pivotField showAll="0"/>
    <pivotField axis="axisRow" showAll="0">
      <items count="16">
        <item x="10"/>
        <item x="12"/>
        <item x="7"/>
        <item x="4"/>
        <item x="0"/>
        <item x="1"/>
        <item x="14"/>
        <item x="2"/>
        <item x="11"/>
        <item x="9"/>
        <item x="13"/>
        <item x="3"/>
        <item x="5"/>
        <item x="6"/>
        <item x="8"/>
        <item t="default"/>
      </items>
    </pivotField>
    <pivotField showAll="0"/>
    <pivotField showAll="0"/>
    <pivotField showAll="0"/>
    <pivotField dataField="1" numFmtId="3" showAll="0"/>
    <pivotField showAll="0"/>
    <pivotField showAll="0" defaultSubtotal="0"/>
    <pivotField showAll="0"/>
    <pivotField numFmtId="41"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단지수" fld="1" baseField="0" baseItem="0"/>
    <dataField name="합계 : 가동수량" fld="8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70"/>
  <sheetViews>
    <sheetView showGridLines="0" tabSelected="1" view="pageBreakPreview" topLeftCell="A2" zoomScale="79" zoomScaleNormal="80" zoomScaleSheetLayoutView="79" workbookViewId="0">
      <selection activeCell="V4" sqref="V4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19" width="15" style="6" bestFit="1" customWidth="1"/>
    <col min="20" max="20" width="13.375" style="6" bestFit="1" customWidth="1"/>
    <col min="21" max="21" width="15.375" bestFit="1" customWidth="1"/>
    <col min="22" max="29" width="5.625" customWidth="1"/>
    <col min="30" max="30" width="7.5" customWidth="1"/>
    <col min="31" max="33" width="5.625" customWidth="1"/>
    <col min="34" max="34" width="7.5" customWidth="1"/>
    <col min="35" max="35" width="5.625" customWidth="1"/>
    <col min="36" max="36" width="3.75" customWidth="1"/>
    <col min="37" max="39" width="5.625" customWidth="1"/>
    <col min="40" max="40" width="7.5" customWidth="1"/>
    <col min="41" max="41" width="5.625" customWidth="1"/>
    <col min="42" max="42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7" t="s">
        <v>1</v>
      </c>
      <c r="O3" s="8" t="s">
        <v>649</v>
      </c>
    </row>
    <row r="4" spans="2:21" ht="20.100000000000001" customHeight="1" x14ac:dyDescent="0.3"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9" t="s">
        <v>2</v>
      </c>
      <c r="O4" s="10" t="s">
        <v>650</v>
      </c>
    </row>
    <row r="5" spans="2:21" ht="20.100000000000001" customHeight="1" thickBot="1" x14ac:dyDescent="0.3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11" t="s">
        <v>3</v>
      </c>
      <c r="O5" s="12" t="s">
        <v>4</v>
      </c>
      <c r="S5"/>
      <c r="T5"/>
    </row>
    <row r="6" spans="2:21" ht="9" customHeight="1" x14ac:dyDescent="0.3">
      <c r="S6"/>
      <c r="T6"/>
    </row>
    <row r="7" spans="2:21" ht="15" customHeight="1" x14ac:dyDescent="0.3">
      <c r="B7" s="29" t="s">
        <v>5</v>
      </c>
      <c r="C7" s="30" t="s">
        <v>6</v>
      </c>
      <c r="D7" s="29" t="s">
        <v>7</v>
      </c>
      <c r="E7" s="29" t="s">
        <v>8</v>
      </c>
      <c r="F7" s="29" t="s">
        <v>9</v>
      </c>
      <c r="G7" s="29" t="s">
        <v>10</v>
      </c>
      <c r="H7" s="29" t="s">
        <v>11</v>
      </c>
      <c r="I7" s="31" t="s">
        <v>12</v>
      </c>
      <c r="J7" s="32" t="s">
        <v>13</v>
      </c>
      <c r="K7" s="33" t="s">
        <v>14</v>
      </c>
      <c r="L7" s="34" t="s">
        <v>15</v>
      </c>
      <c r="M7" s="35" t="s">
        <v>16</v>
      </c>
      <c r="N7" s="36" t="s">
        <v>17</v>
      </c>
      <c r="O7" s="29" t="s">
        <v>18</v>
      </c>
      <c r="Q7" s="2" t="s">
        <v>19</v>
      </c>
      <c r="S7" s="24" t="s">
        <v>20</v>
      </c>
      <c r="T7" s="13" t="s">
        <v>21</v>
      </c>
      <c r="U7" s="13" t="s">
        <v>22</v>
      </c>
    </row>
    <row r="8" spans="2:21" ht="13.5" customHeight="1" x14ac:dyDescent="0.3">
      <c r="B8" s="14" t="s">
        <v>23</v>
      </c>
      <c r="C8" s="15">
        <v>1</v>
      </c>
      <c r="D8" s="16" t="s">
        <v>110</v>
      </c>
      <c r="E8" s="14">
        <v>2003</v>
      </c>
      <c r="F8" s="14" t="s">
        <v>77</v>
      </c>
      <c r="G8" s="14" t="s">
        <v>111</v>
      </c>
      <c r="H8" s="14" t="s">
        <v>112</v>
      </c>
      <c r="I8" s="17" t="s">
        <v>113</v>
      </c>
      <c r="J8" s="18">
        <v>22</v>
      </c>
      <c r="K8" s="19" t="s">
        <v>24</v>
      </c>
      <c r="L8" s="25" t="s">
        <v>640</v>
      </c>
      <c r="M8" s="16" t="s">
        <v>127</v>
      </c>
      <c r="N8" s="15">
        <v>862</v>
      </c>
      <c r="O8" s="28"/>
      <c r="S8" s="13" t="s">
        <v>25</v>
      </c>
      <c r="T8" s="13">
        <v>78</v>
      </c>
      <c r="U8" s="13">
        <v>1290</v>
      </c>
    </row>
    <row r="9" spans="2:21" ht="13.5" customHeight="1" x14ac:dyDescent="0.3">
      <c r="B9" s="14" t="s">
        <v>23</v>
      </c>
      <c r="C9" s="15">
        <v>1</v>
      </c>
      <c r="D9" s="16" t="s">
        <v>524</v>
      </c>
      <c r="E9" s="14">
        <v>1997</v>
      </c>
      <c r="F9" s="14" t="s">
        <v>77</v>
      </c>
      <c r="G9" s="14" t="s">
        <v>360</v>
      </c>
      <c r="H9" s="14" t="s">
        <v>361</v>
      </c>
      <c r="I9" s="17" t="s">
        <v>525</v>
      </c>
      <c r="J9" s="18">
        <v>49</v>
      </c>
      <c r="K9" s="19" t="s">
        <v>24</v>
      </c>
      <c r="L9" s="25" t="s">
        <v>646</v>
      </c>
      <c r="M9" s="16" t="s">
        <v>192</v>
      </c>
      <c r="N9" s="15">
        <v>2064</v>
      </c>
      <c r="O9" s="28" t="s">
        <v>605</v>
      </c>
      <c r="S9" s="13" t="s">
        <v>26</v>
      </c>
      <c r="T9" s="13">
        <v>85</v>
      </c>
      <c r="U9" s="13">
        <v>1947</v>
      </c>
    </row>
    <row r="10" spans="2:21" ht="13.5" customHeight="1" x14ac:dyDescent="0.3">
      <c r="B10" s="14" t="s">
        <v>23</v>
      </c>
      <c r="C10" s="15">
        <v>1</v>
      </c>
      <c r="D10" s="16" t="s">
        <v>114</v>
      </c>
      <c r="E10" s="14">
        <v>2009</v>
      </c>
      <c r="F10" s="14" t="s">
        <v>77</v>
      </c>
      <c r="G10" s="14" t="s">
        <v>111</v>
      </c>
      <c r="H10" s="14" t="s">
        <v>112</v>
      </c>
      <c r="I10" s="17" t="s">
        <v>113</v>
      </c>
      <c r="J10" s="18">
        <v>12</v>
      </c>
      <c r="K10" s="19" t="s">
        <v>24</v>
      </c>
      <c r="L10" s="25" t="s">
        <v>640</v>
      </c>
      <c r="M10" s="16" t="s">
        <v>128</v>
      </c>
      <c r="N10" s="15">
        <v>522</v>
      </c>
      <c r="O10" s="28"/>
      <c r="S10" s="13" t="s">
        <v>31</v>
      </c>
      <c r="T10" s="13">
        <v>14</v>
      </c>
      <c r="U10" s="13">
        <v>232</v>
      </c>
    </row>
    <row r="11" spans="2:21" ht="13.5" customHeight="1" x14ac:dyDescent="0.3">
      <c r="B11" s="14" t="s">
        <v>23</v>
      </c>
      <c r="C11" s="15">
        <v>1</v>
      </c>
      <c r="D11" s="16" t="s">
        <v>526</v>
      </c>
      <c r="E11" s="14">
        <v>1987</v>
      </c>
      <c r="F11" s="14" t="s">
        <v>77</v>
      </c>
      <c r="G11" s="14" t="s">
        <v>111</v>
      </c>
      <c r="H11" s="14" t="s">
        <v>102</v>
      </c>
      <c r="I11" s="17" t="s">
        <v>527</v>
      </c>
      <c r="J11" s="18">
        <v>42</v>
      </c>
      <c r="K11" s="19" t="s">
        <v>24</v>
      </c>
      <c r="L11" s="25" t="s">
        <v>640</v>
      </c>
      <c r="M11" s="16" t="s">
        <v>606</v>
      </c>
      <c r="N11" s="15">
        <v>2280</v>
      </c>
      <c r="O11" s="28"/>
      <c r="S11" s="13" t="s">
        <v>119</v>
      </c>
      <c r="T11" s="13">
        <v>36</v>
      </c>
      <c r="U11" s="13">
        <v>1067</v>
      </c>
    </row>
    <row r="12" spans="2:21" ht="13.5" customHeight="1" x14ac:dyDescent="0.3">
      <c r="B12" s="14" t="s">
        <v>23</v>
      </c>
      <c r="C12" s="15">
        <v>1</v>
      </c>
      <c r="D12" s="16" t="s">
        <v>528</v>
      </c>
      <c r="E12" s="14">
        <v>2003</v>
      </c>
      <c r="F12" s="14" t="s">
        <v>77</v>
      </c>
      <c r="G12" s="14" t="s">
        <v>111</v>
      </c>
      <c r="H12" s="14" t="s">
        <v>112</v>
      </c>
      <c r="I12" s="17" t="s">
        <v>529</v>
      </c>
      <c r="J12" s="18">
        <v>18</v>
      </c>
      <c r="K12" s="19" t="s">
        <v>24</v>
      </c>
      <c r="L12" s="25" t="s">
        <v>642</v>
      </c>
      <c r="M12" s="16" t="s">
        <v>607</v>
      </c>
      <c r="N12" s="15">
        <v>511</v>
      </c>
      <c r="O12" s="28"/>
      <c r="S12" s="13" t="s">
        <v>77</v>
      </c>
      <c r="T12" s="13">
        <v>14</v>
      </c>
      <c r="U12" s="13">
        <v>332</v>
      </c>
    </row>
    <row r="13" spans="2:21" ht="13.5" customHeight="1" x14ac:dyDescent="0.3">
      <c r="B13" s="14" t="s">
        <v>23</v>
      </c>
      <c r="C13" s="15">
        <v>1</v>
      </c>
      <c r="D13" s="16" t="s">
        <v>352</v>
      </c>
      <c r="E13" s="14">
        <v>2011</v>
      </c>
      <c r="F13" s="14" t="s">
        <v>77</v>
      </c>
      <c r="G13" s="14" t="s">
        <v>353</v>
      </c>
      <c r="H13" s="14" t="s">
        <v>354</v>
      </c>
      <c r="I13" s="17" t="s">
        <v>355</v>
      </c>
      <c r="J13" s="18">
        <v>35</v>
      </c>
      <c r="K13" s="19" t="s">
        <v>24</v>
      </c>
      <c r="L13" s="25" t="s">
        <v>646</v>
      </c>
      <c r="M13" s="16" t="s">
        <v>468</v>
      </c>
      <c r="N13" s="15">
        <v>1142</v>
      </c>
      <c r="O13" s="28"/>
      <c r="S13" s="13" t="s">
        <v>82</v>
      </c>
      <c r="T13" s="13">
        <v>24</v>
      </c>
      <c r="U13" s="13">
        <v>631</v>
      </c>
    </row>
    <row r="14" spans="2:21" ht="13.5" customHeight="1" x14ac:dyDescent="0.3">
      <c r="B14" s="14" t="s">
        <v>23</v>
      </c>
      <c r="C14" s="15">
        <v>1</v>
      </c>
      <c r="D14" s="16" t="s">
        <v>530</v>
      </c>
      <c r="E14" s="14">
        <v>2016</v>
      </c>
      <c r="F14" s="14" t="s">
        <v>77</v>
      </c>
      <c r="G14" s="14" t="s">
        <v>111</v>
      </c>
      <c r="H14" s="14" t="s">
        <v>102</v>
      </c>
      <c r="I14" s="17" t="s">
        <v>531</v>
      </c>
      <c r="J14" s="18">
        <v>30</v>
      </c>
      <c r="K14" s="19" t="s">
        <v>24</v>
      </c>
      <c r="L14" s="25" t="s">
        <v>646</v>
      </c>
      <c r="M14" s="16" t="s">
        <v>608</v>
      </c>
      <c r="N14" s="15">
        <v>1081</v>
      </c>
      <c r="O14" s="28"/>
      <c r="S14" s="13" t="s">
        <v>866</v>
      </c>
      <c r="T14" s="13">
        <v>25</v>
      </c>
      <c r="U14" s="13">
        <v>405</v>
      </c>
    </row>
    <row r="15" spans="2:21" ht="13.5" customHeight="1" x14ac:dyDescent="0.3">
      <c r="B15" s="14" t="s">
        <v>23</v>
      </c>
      <c r="C15" s="20">
        <v>1</v>
      </c>
      <c r="D15" s="16" t="s">
        <v>532</v>
      </c>
      <c r="E15" s="14">
        <v>1988</v>
      </c>
      <c r="F15" s="14" t="s">
        <v>77</v>
      </c>
      <c r="G15" s="14" t="s">
        <v>111</v>
      </c>
      <c r="H15" s="14" t="s">
        <v>102</v>
      </c>
      <c r="I15" s="17" t="s">
        <v>533</v>
      </c>
      <c r="J15" s="18">
        <v>24</v>
      </c>
      <c r="K15" s="19" t="s">
        <v>24</v>
      </c>
      <c r="L15" s="25" t="s">
        <v>646</v>
      </c>
      <c r="M15" s="16" t="s">
        <v>609</v>
      </c>
      <c r="N15" s="15">
        <v>1860</v>
      </c>
      <c r="O15" s="28"/>
      <c r="S15" s="13" t="s">
        <v>316</v>
      </c>
      <c r="T15" s="13">
        <v>24</v>
      </c>
      <c r="U15" s="13">
        <v>718</v>
      </c>
    </row>
    <row r="16" spans="2:21" ht="13.5" customHeight="1" x14ac:dyDescent="0.3">
      <c r="B16" s="14" t="s">
        <v>27</v>
      </c>
      <c r="C16" s="20">
        <v>1</v>
      </c>
      <c r="D16" s="16" t="s">
        <v>356</v>
      </c>
      <c r="E16" s="14">
        <v>1992</v>
      </c>
      <c r="F16" s="14" t="s">
        <v>77</v>
      </c>
      <c r="G16" s="14" t="s">
        <v>306</v>
      </c>
      <c r="H16" s="14" t="s">
        <v>357</v>
      </c>
      <c r="I16" s="17" t="s">
        <v>357</v>
      </c>
      <c r="J16" s="18">
        <v>8</v>
      </c>
      <c r="K16" s="19" t="s">
        <v>24</v>
      </c>
      <c r="L16" s="25" t="s">
        <v>640</v>
      </c>
      <c r="M16" s="16" t="s">
        <v>469</v>
      </c>
      <c r="N16" s="15">
        <v>406</v>
      </c>
      <c r="O16" s="28"/>
      <c r="S16" s="13" t="s">
        <v>177</v>
      </c>
      <c r="T16" s="13">
        <v>4</v>
      </c>
      <c r="U16" s="13">
        <v>81</v>
      </c>
    </row>
    <row r="17" spans="2:21" ht="13.5" customHeight="1" x14ac:dyDescent="0.3">
      <c r="B17" s="14" t="s">
        <v>23</v>
      </c>
      <c r="C17" s="20">
        <v>1</v>
      </c>
      <c r="D17" s="16" t="s">
        <v>534</v>
      </c>
      <c r="E17" s="14">
        <v>2015</v>
      </c>
      <c r="F17" s="14" t="s">
        <v>77</v>
      </c>
      <c r="G17" s="14" t="s">
        <v>306</v>
      </c>
      <c r="H17" s="14" t="s">
        <v>535</v>
      </c>
      <c r="I17" s="17" t="s">
        <v>535</v>
      </c>
      <c r="J17" s="18">
        <v>32</v>
      </c>
      <c r="K17" s="19" t="s">
        <v>24</v>
      </c>
      <c r="L17" s="25" t="s">
        <v>646</v>
      </c>
      <c r="M17" s="16" t="s">
        <v>610</v>
      </c>
      <c r="N17" s="15">
        <v>1391</v>
      </c>
      <c r="O17" s="28"/>
      <c r="S17" s="13" t="s">
        <v>792</v>
      </c>
      <c r="T17" s="13">
        <v>1</v>
      </c>
      <c r="U17" s="13">
        <v>23</v>
      </c>
    </row>
    <row r="18" spans="2:21" ht="13.5" customHeight="1" x14ac:dyDescent="0.3">
      <c r="B18" s="14" t="s">
        <v>23</v>
      </c>
      <c r="C18" s="20">
        <v>1</v>
      </c>
      <c r="D18" s="26" t="s">
        <v>76</v>
      </c>
      <c r="E18" s="14">
        <v>2002</v>
      </c>
      <c r="F18" s="14" t="s">
        <v>77</v>
      </c>
      <c r="G18" s="14" t="s">
        <v>78</v>
      </c>
      <c r="H18" s="14" t="s">
        <v>78</v>
      </c>
      <c r="I18" s="17" t="s">
        <v>78</v>
      </c>
      <c r="J18" s="18">
        <v>5</v>
      </c>
      <c r="K18" s="19" t="s">
        <v>24</v>
      </c>
      <c r="L18" s="25" t="s">
        <v>641</v>
      </c>
      <c r="M18" s="16" t="s">
        <v>103</v>
      </c>
      <c r="N18" s="15">
        <v>126</v>
      </c>
      <c r="O18" s="28" t="s">
        <v>29</v>
      </c>
      <c r="S18" s="13" t="s">
        <v>334</v>
      </c>
      <c r="T18" s="13">
        <v>7</v>
      </c>
      <c r="U18" s="13">
        <v>157</v>
      </c>
    </row>
    <row r="19" spans="2:21" ht="13.5" customHeight="1" x14ac:dyDescent="0.3">
      <c r="B19" s="14" t="s">
        <v>23</v>
      </c>
      <c r="C19" s="20">
        <v>1</v>
      </c>
      <c r="D19" s="26" t="s">
        <v>358</v>
      </c>
      <c r="E19" s="14">
        <v>1995</v>
      </c>
      <c r="F19" s="14" t="s">
        <v>77</v>
      </c>
      <c r="G19" s="14" t="s">
        <v>111</v>
      </c>
      <c r="H19" s="14" t="s">
        <v>102</v>
      </c>
      <c r="I19" s="17" t="s">
        <v>102</v>
      </c>
      <c r="J19" s="18">
        <v>42</v>
      </c>
      <c r="K19" s="19" t="s">
        <v>24</v>
      </c>
      <c r="L19" s="25" t="s">
        <v>646</v>
      </c>
      <c r="M19" s="16">
        <v>18</v>
      </c>
      <c r="N19" s="15">
        <v>2998</v>
      </c>
      <c r="O19" s="28" t="s">
        <v>29</v>
      </c>
      <c r="S19" s="13" t="s">
        <v>657</v>
      </c>
      <c r="T19" s="13">
        <v>1</v>
      </c>
      <c r="U19" s="13">
        <v>16</v>
      </c>
    </row>
    <row r="20" spans="2:21" ht="13.5" customHeight="1" x14ac:dyDescent="0.3">
      <c r="B20" s="14" t="s">
        <v>23</v>
      </c>
      <c r="C20" s="20">
        <v>1</v>
      </c>
      <c r="D20" s="27" t="s">
        <v>79</v>
      </c>
      <c r="E20" s="14">
        <v>2013</v>
      </c>
      <c r="F20" s="14" t="s">
        <v>77</v>
      </c>
      <c r="G20" s="14" t="s">
        <v>78</v>
      </c>
      <c r="H20" s="14" t="s">
        <v>80</v>
      </c>
      <c r="I20" s="17" t="s">
        <v>80</v>
      </c>
      <c r="J20" s="18">
        <v>10</v>
      </c>
      <c r="K20" s="19" t="s">
        <v>24</v>
      </c>
      <c r="L20" s="25" t="s">
        <v>646</v>
      </c>
      <c r="M20" s="16" t="s">
        <v>104</v>
      </c>
      <c r="N20" s="15">
        <v>358</v>
      </c>
      <c r="O20" s="28" t="s">
        <v>29</v>
      </c>
      <c r="S20" s="13" t="s">
        <v>397</v>
      </c>
      <c r="T20" s="13">
        <v>37</v>
      </c>
      <c r="U20" s="13">
        <v>893</v>
      </c>
    </row>
    <row r="21" spans="2:21" ht="13.5" customHeight="1" x14ac:dyDescent="0.3">
      <c r="B21" s="14" t="s">
        <v>27</v>
      </c>
      <c r="C21" s="20">
        <v>1</v>
      </c>
      <c r="D21" s="27" t="s">
        <v>359</v>
      </c>
      <c r="E21" s="14">
        <v>2004</v>
      </c>
      <c r="F21" s="14" t="s">
        <v>77</v>
      </c>
      <c r="G21" s="14" t="s">
        <v>360</v>
      </c>
      <c r="H21" s="14" t="s">
        <v>361</v>
      </c>
      <c r="I21" s="17" t="s">
        <v>361</v>
      </c>
      <c r="J21" s="18">
        <v>3</v>
      </c>
      <c r="K21" s="19" t="s">
        <v>24</v>
      </c>
      <c r="L21" s="25" t="s">
        <v>646</v>
      </c>
      <c r="M21" s="16" t="s">
        <v>470</v>
      </c>
      <c r="N21" s="15">
        <v>213</v>
      </c>
      <c r="O21" s="28" t="s">
        <v>29</v>
      </c>
      <c r="S21" s="13" t="s">
        <v>756</v>
      </c>
      <c r="T21" s="13">
        <v>4</v>
      </c>
      <c r="U21" s="13">
        <v>83</v>
      </c>
    </row>
    <row r="22" spans="2:21" ht="13.5" customHeight="1" x14ac:dyDescent="0.3">
      <c r="B22" s="14" t="s">
        <v>23</v>
      </c>
      <c r="C22" s="15">
        <v>1</v>
      </c>
      <c r="D22" s="16" t="s">
        <v>536</v>
      </c>
      <c r="E22" s="14">
        <v>2007</v>
      </c>
      <c r="F22" s="14" t="s">
        <v>82</v>
      </c>
      <c r="G22" s="14" t="s">
        <v>308</v>
      </c>
      <c r="H22" s="14" t="s">
        <v>362</v>
      </c>
      <c r="I22" s="17" t="s">
        <v>363</v>
      </c>
      <c r="J22" s="18">
        <v>12</v>
      </c>
      <c r="K22" s="19" t="s">
        <v>24</v>
      </c>
      <c r="L22" s="25" t="s">
        <v>640</v>
      </c>
      <c r="M22" s="16">
        <v>32</v>
      </c>
      <c r="N22" s="15">
        <v>484</v>
      </c>
      <c r="O22" s="28"/>
      <c r="S22" s="13" t="s">
        <v>557</v>
      </c>
      <c r="T22" s="13">
        <v>1</v>
      </c>
      <c r="U22" s="13">
        <v>7</v>
      </c>
    </row>
    <row r="23" spans="2:21" ht="13.5" customHeight="1" x14ac:dyDescent="0.3">
      <c r="B23" s="14" t="s">
        <v>23</v>
      </c>
      <c r="C23" s="15">
        <v>1</v>
      </c>
      <c r="D23" s="16" t="s">
        <v>81</v>
      </c>
      <c r="E23" s="14">
        <v>2011</v>
      </c>
      <c r="F23" s="14" t="s">
        <v>82</v>
      </c>
      <c r="G23" s="14" t="s">
        <v>83</v>
      </c>
      <c r="H23" s="14" t="s">
        <v>84</v>
      </c>
      <c r="I23" s="17" t="s">
        <v>84</v>
      </c>
      <c r="J23" s="18">
        <v>26</v>
      </c>
      <c r="K23" s="19" t="s">
        <v>24</v>
      </c>
      <c r="L23" s="25" t="s">
        <v>640</v>
      </c>
      <c r="M23" s="16" t="s">
        <v>105</v>
      </c>
      <c r="N23" s="15">
        <v>948</v>
      </c>
      <c r="O23" s="28"/>
      <c r="S23" s="13" t="s">
        <v>37</v>
      </c>
      <c r="T23" s="13">
        <v>355</v>
      </c>
      <c r="U23" s="13">
        <v>7882</v>
      </c>
    </row>
    <row r="24" spans="2:21" ht="13.5" customHeight="1" x14ac:dyDescent="0.3">
      <c r="B24" s="14" t="s">
        <v>23</v>
      </c>
      <c r="C24" s="20">
        <v>1</v>
      </c>
      <c r="D24" s="16" t="s">
        <v>545</v>
      </c>
      <c r="E24" s="14">
        <v>2005</v>
      </c>
      <c r="F24" s="14" t="s">
        <v>82</v>
      </c>
      <c r="G24" s="14" t="s">
        <v>310</v>
      </c>
      <c r="H24" s="14" t="s">
        <v>311</v>
      </c>
      <c r="I24" s="17" t="s">
        <v>311</v>
      </c>
      <c r="J24" s="18">
        <v>19</v>
      </c>
      <c r="K24" s="19" t="s">
        <v>24</v>
      </c>
      <c r="L24" s="25" t="s">
        <v>646</v>
      </c>
      <c r="M24" s="16" t="s">
        <v>131</v>
      </c>
      <c r="N24" s="15">
        <v>495</v>
      </c>
      <c r="O24" s="28"/>
      <c r="S24"/>
      <c r="T24"/>
    </row>
    <row r="25" spans="2:21" ht="13.5" customHeight="1" x14ac:dyDescent="0.3">
      <c r="B25" s="14" t="s">
        <v>23</v>
      </c>
      <c r="C25" s="38">
        <v>1</v>
      </c>
      <c r="D25" s="39" t="s">
        <v>546</v>
      </c>
      <c r="E25" s="14">
        <v>2020</v>
      </c>
      <c r="F25" s="14" t="s">
        <v>82</v>
      </c>
      <c r="G25" s="14" t="s">
        <v>544</v>
      </c>
      <c r="H25" s="14" t="s">
        <v>547</v>
      </c>
      <c r="I25" s="17" t="s">
        <v>547</v>
      </c>
      <c r="J25" s="18">
        <v>28</v>
      </c>
      <c r="K25" s="19" t="s">
        <v>24</v>
      </c>
      <c r="L25" s="25" t="s">
        <v>646</v>
      </c>
      <c r="M25" s="16" t="s">
        <v>614</v>
      </c>
      <c r="N25" s="15">
        <v>1229</v>
      </c>
      <c r="O25" s="28"/>
      <c r="S25"/>
      <c r="T25"/>
    </row>
    <row r="26" spans="2:21" ht="13.5" customHeight="1" x14ac:dyDescent="0.3">
      <c r="B26" s="14" t="s">
        <v>23</v>
      </c>
      <c r="C26" s="20">
        <v>1</v>
      </c>
      <c r="D26" s="16" t="s">
        <v>550</v>
      </c>
      <c r="E26" s="14" t="s">
        <v>63</v>
      </c>
      <c r="F26" s="14" t="s">
        <v>82</v>
      </c>
      <c r="G26" s="14" t="s">
        <v>308</v>
      </c>
      <c r="H26" s="14" t="s">
        <v>462</v>
      </c>
      <c r="I26" s="17" t="s">
        <v>462</v>
      </c>
      <c r="J26" s="18">
        <v>30</v>
      </c>
      <c r="K26" s="19" t="s">
        <v>24</v>
      </c>
      <c r="L26" s="25" t="s">
        <v>641</v>
      </c>
      <c r="M26" s="16" t="s">
        <v>615</v>
      </c>
      <c r="N26" s="15">
        <v>1778</v>
      </c>
      <c r="O26" s="28"/>
      <c r="S26"/>
      <c r="T26"/>
    </row>
    <row r="27" spans="2:21" ht="13.5" customHeight="1" x14ac:dyDescent="0.3">
      <c r="B27" s="14" t="s">
        <v>23</v>
      </c>
      <c r="C27" s="20">
        <v>1</v>
      </c>
      <c r="D27" s="16" t="s">
        <v>551</v>
      </c>
      <c r="E27" s="14">
        <v>2017</v>
      </c>
      <c r="F27" s="14" t="s">
        <v>82</v>
      </c>
      <c r="G27" s="14" t="s">
        <v>313</v>
      </c>
      <c r="H27" s="14" t="s">
        <v>366</v>
      </c>
      <c r="I27" s="17" t="s">
        <v>314</v>
      </c>
      <c r="J27" s="18">
        <v>72</v>
      </c>
      <c r="K27" s="19" t="s">
        <v>24</v>
      </c>
      <c r="L27" s="25" t="s">
        <v>640</v>
      </c>
      <c r="M27" s="16" t="s">
        <v>617</v>
      </c>
      <c r="N27" s="15">
        <v>3391</v>
      </c>
      <c r="O27" s="28"/>
      <c r="S27"/>
      <c r="T27"/>
    </row>
    <row r="28" spans="2:21" ht="13.5" customHeight="1" x14ac:dyDescent="0.3">
      <c r="B28" s="14" t="s">
        <v>23</v>
      </c>
      <c r="C28" s="20">
        <v>1</v>
      </c>
      <c r="D28" s="16" t="s">
        <v>553</v>
      </c>
      <c r="E28" s="14">
        <v>2018</v>
      </c>
      <c r="F28" s="14" t="s">
        <v>82</v>
      </c>
      <c r="G28" s="14" t="s">
        <v>308</v>
      </c>
      <c r="H28" s="14" t="s">
        <v>549</v>
      </c>
      <c r="I28" s="17" t="s">
        <v>552</v>
      </c>
      <c r="J28" s="18">
        <v>12</v>
      </c>
      <c r="K28" s="19" t="s">
        <v>24</v>
      </c>
      <c r="L28" s="25" t="s">
        <v>641</v>
      </c>
      <c r="M28" s="16" t="s">
        <v>131</v>
      </c>
      <c r="N28" s="15">
        <v>496</v>
      </c>
      <c r="O28" s="28"/>
      <c r="S28"/>
      <c r="T28"/>
    </row>
    <row r="29" spans="2:21" ht="13.5" customHeight="1" x14ac:dyDescent="0.3">
      <c r="B29" s="14" t="s">
        <v>23</v>
      </c>
      <c r="C29" s="20">
        <v>1</v>
      </c>
      <c r="D29" s="26" t="s">
        <v>555</v>
      </c>
      <c r="E29" s="14">
        <v>1993</v>
      </c>
      <c r="F29" s="14" t="s">
        <v>82</v>
      </c>
      <c r="G29" s="14" t="s">
        <v>307</v>
      </c>
      <c r="H29" s="14" t="s">
        <v>365</v>
      </c>
      <c r="I29" s="17" t="s">
        <v>554</v>
      </c>
      <c r="J29" s="18">
        <v>18</v>
      </c>
      <c r="K29" s="19" t="s">
        <v>24</v>
      </c>
      <c r="L29" s="25" t="s">
        <v>641</v>
      </c>
      <c r="M29" s="16" t="s">
        <v>489</v>
      </c>
      <c r="N29" s="15">
        <v>702</v>
      </c>
      <c r="O29" s="28"/>
      <c r="S29"/>
      <c r="T29"/>
    </row>
    <row r="30" spans="2:21" ht="13.5" customHeight="1" x14ac:dyDescent="0.3">
      <c r="B30" s="14" t="s">
        <v>23</v>
      </c>
      <c r="C30" s="20">
        <v>1</v>
      </c>
      <c r="D30" s="26" t="s">
        <v>556</v>
      </c>
      <c r="E30" s="14" t="s">
        <v>63</v>
      </c>
      <c r="F30" s="14" t="s">
        <v>82</v>
      </c>
      <c r="G30" s="14" t="s">
        <v>308</v>
      </c>
      <c r="H30" s="14" t="s">
        <v>542</v>
      </c>
      <c r="I30" s="17" t="s">
        <v>542</v>
      </c>
      <c r="J30" s="18">
        <v>75</v>
      </c>
      <c r="K30" s="19" t="s">
        <v>24</v>
      </c>
      <c r="L30" s="25" t="s">
        <v>646</v>
      </c>
      <c r="M30" s="16" t="s">
        <v>618</v>
      </c>
      <c r="N30" s="15">
        <v>2666</v>
      </c>
      <c r="O30" s="28"/>
      <c r="S30"/>
      <c r="T30"/>
    </row>
    <row r="31" spans="2:21" ht="13.5" customHeight="1" x14ac:dyDescent="0.3">
      <c r="B31" s="14" t="s">
        <v>30</v>
      </c>
      <c r="C31" s="20">
        <v>1</v>
      </c>
      <c r="D31" s="26" t="s">
        <v>558</v>
      </c>
      <c r="E31" s="14">
        <v>2014</v>
      </c>
      <c r="F31" s="14" t="s">
        <v>82</v>
      </c>
      <c r="G31" s="14" t="s">
        <v>83</v>
      </c>
      <c r="H31" s="14" t="s">
        <v>548</v>
      </c>
      <c r="I31" s="17" t="s">
        <v>368</v>
      </c>
      <c r="J31" s="18">
        <v>20</v>
      </c>
      <c r="K31" s="19" t="s">
        <v>24</v>
      </c>
      <c r="L31" s="25" t="s">
        <v>640</v>
      </c>
      <c r="M31" s="16" t="s">
        <v>619</v>
      </c>
      <c r="N31" s="15">
        <v>1519</v>
      </c>
      <c r="O31" s="28"/>
      <c r="S31"/>
      <c r="T31"/>
    </row>
    <row r="32" spans="2:21" ht="13.5" customHeight="1" x14ac:dyDescent="0.3">
      <c r="B32" s="14" t="s">
        <v>23</v>
      </c>
      <c r="C32" s="20">
        <v>1</v>
      </c>
      <c r="D32" s="26" t="s">
        <v>559</v>
      </c>
      <c r="E32" s="14">
        <v>2019</v>
      </c>
      <c r="F32" s="14" t="s">
        <v>82</v>
      </c>
      <c r="G32" s="14" t="s">
        <v>310</v>
      </c>
      <c r="H32" s="14" t="s">
        <v>311</v>
      </c>
      <c r="I32" s="17" t="s">
        <v>311</v>
      </c>
      <c r="J32" s="18">
        <v>11</v>
      </c>
      <c r="K32" s="19" t="s">
        <v>24</v>
      </c>
      <c r="L32" s="25" t="s">
        <v>646</v>
      </c>
      <c r="M32" s="16" t="s">
        <v>620</v>
      </c>
      <c r="N32" s="15">
        <v>291</v>
      </c>
      <c r="O32" s="28"/>
      <c r="S32"/>
      <c r="T32"/>
    </row>
    <row r="33" spans="2:20" ht="13.5" customHeight="1" x14ac:dyDescent="0.3">
      <c r="B33" s="14" t="s">
        <v>23</v>
      </c>
      <c r="C33" s="23">
        <v>1</v>
      </c>
      <c r="D33" s="26" t="s">
        <v>367</v>
      </c>
      <c r="E33" s="14">
        <v>2000</v>
      </c>
      <c r="F33" s="14" t="s">
        <v>82</v>
      </c>
      <c r="G33" s="14" t="s">
        <v>313</v>
      </c>
      <c r="H33" s="14" t="s">
        <v>368</v>
      </c>
      <c r="I33" s="17" t="s">
        <v>368</v>
      </c>
      <c r="J33" s="18">
        <v>11</v>
      </c>
      <c r="K33" s="19" t="s">
        <v>24</v>
      </c>
      <c r="L33" s="25" t="s">
        <v>641</v>
      </c>
      <c r="M33" s="16" t="s">
        <v>471</v>
      </c>
      <c r="N33" s="15">
        <v>389</v>
      </c>
      <c r="O33" s="28" t="s">
        <v>29</v>
      </c>
      <c r="S33"/>
      <c r="T33"/>
    </row>
    <row r="34" spans="2:20" ht="13.5" customHeight="1" x14ac:dyDescent="0.3">
      <c r="B34" s="14" t="s">
        <v>27</v>
      </c>
      <c r="C34" s="20">
        <v>1</v>
      </c>
      <c r="D34" s="26" t="s">
        <v>560</v>
      </c>
      <c r="E34" s="14">
        <v>2012</v>
      </c>
      <c r="F34" s="14" t="s">
        <v>82</v>
      </c>
      <c r="G34" s="14" t="s">
        <v>561</v>
      </c>
      <c r="H34" s="14" t="s">
        <v>28</v>
      </c>
      <c r="I34" s="17" t="s">
        <v>28</v>
      </c>
      <c r="J34" s="18">
        <v>12</v>
      </c>
      <c r="K34" s="19" t="s">
        <v>24</v>
      </c>
      <c r="L34" s="25" t="s">
        <v>641</v>
      </c>
      <c r="M34" s="16" t="s">
        <v>621</v>
      </c>
      <c r="N34" s="15">
        <v>572</v>
      </c>
      <c r="O34" s="28" t="s">
        <v>29</v>
      </c>
      <c r="S34"/>
      <c r="T34"/>
    </row>
    <row r="35" spans="2:20" ht="13.5" customHeight="1" x14ac:dyDescent="0.3">
      <c r="B35" s="14" t="s">
        <v>23</v>
      </c>
      <c r="C35" s="20">
        <v>1</v>
      </c>
      <c r="D35" s="26" t="s">
        <v>562</v>
      </c>
      <c r="E35" s="14">
        <v>2009</v>
      </c>
      <c r="F35" s="14" t="s">
        <v>82</v>
      </c>
      <c r="G35" s="14" t="s">
        <v>313</v>
      </c>
      <c r="H35" s="14" t="s">
        <v>563</v>
      </c>
      <c r="I35" s="17" t="s">
        <v>563</v>
      </c>
      <c r="J35" s="18">
        <v>59</v>
      </c>
      <c r="K35" s="19" t="s">
        <v>24</v>
      </c>
      <c r="L35" s="25" t="s">
        <v>641</v>
      </c>
      <c r="M35" s="16" t="s">
        <v>194</v>
      </c>
      <c r="N35" s="15">
        <v>1744</v>
      </c>
      <c r="O35" s="28" t="s">
        <v>29</v>
      </c>
      <c r="S35"/>
      <c r="T35"/>
    </row>
    <row r="36" spans="2:20" ht="13.5" customHeight="1" x14ac:dyDescent="0.3">
      <c r="B36" s="14" t="s">
        <v>23</v>
      </c>
      <c r="C36" s="20">
        <v>1</v>
      </c>
      <c r="D36" s="27" t="s">
        <v>564</v>
      </c>
      <c r="E36" s="14">
        <v>2008</v>
      </c>
      <c r="F36" s="14" t="s">
        <v>82</v>
      </c>
      <c r="G36" s="14" t="s">
        <v>538</v>
      </c>
      <c r="H36" s="14" t="s">
        <v>539</v>
      </c>
      <c r="I36" s="17" t="s">
        <v>540</v>
      </c>
      <c r="J36" s="18">
        <v>46</v>
      </c>
      <c r="K36" s="19" t="s">
        <v>24</v>
      </c>
      <c r="L36" s="25" t="s">
        <v>641</v>
      </c>
      <c r="M36" s="16" t="s">
        <v>612</v>
      </c>
      <c r="N36" s="15">
        <v>1253</v>
      </c>
      <c r="O36" s="28" t="s">
        <v>29</v>
      </c>
      <c r="S36"/>
      <c r="T36"/>
    </row>
    <row r="37" spans="2:20" ht="13.5" customHeight="1" x14ac:dyDescent="0.3">
      <c r="B37" s="14" t="s">
        <v>23</v>
      </c>
      <c r="C37" s="20">
        <v>1</v>
      </c>
      <c r="D37" s="27" t="s">
        <v>369</v>
      </c>
      <c r="E37" s="14">
        <v>1993</v>
      </c>
      <c r="F37" s="14" t="s">
        <v>82</v>
      </c>
      <c r="G37" s="14" t="s">
        <v>364</v>
      </c>
      <c r="H37" s="14" t="s">
        <v>370</v>
      </c>
      <c r="I37" s="17" t="s">
        <v>370</v>
      </c>
      <c r="J37" s="18">
        <v>29</v>
      </c>
      <c r="K37" s="19" t="s">
        <v>24</v>
      </c>
      <c r="L37" s="25" t="s">
        <v>641</v>
      </c>
      <c r="M37" s="16" t="s">
        <v>472</v>
      </c>
      <c r="N37" s="15">
        <v>1144</v>
      </c>
      <c r="O37" s="28" t="s">
        <v>29</v>
      </c>
      <c r="S37"/>
      <c r="T37"/>
    </row>
    <row r="38" spans="2:20" ht="13.5" customHeight="1" x14ac:dyDescent="0.3">
      <c r="B38" s="14" t="s">
        <v>23</v>
      </c>
      <c r="C38" s="23">
        <v>1</v>
      </c>
      <c r="D38" s="16" t="s">
        <v>565</v>
      </c>
      <c r="E38" s="14">
        <v>2000</v>
      </c>
      <c r="F38" s="14" t="s">
        <v>82</v>
      </c>
      <c r="G38" s="14" t="s">
        <v>364</v>
      </c>
      <c r="H38" s="14" t="s">
        <v>364</v>
      </c>
      <c r="I38" s="17" t="s">
        <v>364</v>
      </c>
      <c r="J38" s="18">
        <v>14</v>
      </c>
      <c r="K38" s="19" t="s">
        <v>24</v>
      </c>
      <c r="L38" s="25" t="s">
        <v>646</v>
      </c>
      <c r="M38" s="16">
        <v>30</v>
      </c>
      <c r="N38" s="15">
        <v>532</v>
      </c>
      <c r="O38" s="28" t="s">
        <v>29</v>
      </c>
      <c r="S38"/>
      <c r="T38"/>
    </row>
    <row r="39" spans="2:20" ht="13.5" customHeight="1" x14ac:dyDescent="0.3">
      <c r="B39" s="14" t="s">
        <v>23</v>
      </c>
      <c r="C39" s="20">
        <v>1</v>
      </c>
      <c r="D39" s="16" t="s">
        <v>567</v>
      </c>
      <c r="E39" s="14">
        <v>1996</v>
      </c>
      <c r="F39" s="14" t="s">
        <v>82</v>
      </c>
      <c r="G39" s="14" t="s">
        <v>364</v>
      </c>
      <c r="H39" s="14" t="s">
        <v>543</v>
      </c>
      <c r="I39" s="17" t="s">
        <v>543</v>
      </c>
      <c r="J39" s="18">
        <v>13</v>
      </c>
      <c r="K39" s="19" t="s">
        <v>24</v>
      </c>
      <c r="L39" s="25" t="s">
        <v>641</v>
      </c>
      <c r="M39" s="16" t="s">
        <v>611</v>
      </c>
      <c r="N39" s="15">
        <v>489</v>
      </c>
      <c r="O39" s="28" t="s">
        <v>29</v>
      </c>
      <c r="S39"/>
      <c r="T39"/>
    </row>
    <row r="40" spans="2:20" ht="13.5" customHeight="1" x14ac:dyDescent="0.3">
      <c r="B40" s="14" t="s">
        <v>23</v>
      </c>
      <c r="C40" s="20">
        <v>1</v>
      </c>
      <c r="D40" s="16" t="s">
        <v>568</v>
      </c>
      <c r="E40" s="14">
        <v>2008</v>
      </c>
      <c r="F40" s="14" t="s">
        <v>82</v>
      </c>
      <c r="G40" s="14" t="s">
        <v>308</v>
      </c>
      <c r="H40" s="14" t="s">
        <v>377</v>
      </c>
      <c r="I40" s="17" t="s">
        <v>541</v>
      </c>
      <c r="J40" s="18">
        <v>19</v>
      </c>
      <c r="K40" s="19" t="s">
        <v>24</v>
      </c>
      <c r="L40" s="25" t="s">
        <v>642</v>
      </c>
      <c r="M40" s="16" t="s">
        <v>613</v>
      </c>
      <c r="N40" s="15">
        <v>880</v>
      </c>
      <c r="O40" s="28" t="s">
        <v>29</v>
      </c>
      <c r="S40"/>
      <c r="T40"/>
    </row>
    <row r="41" spans="2:20" ht="13.5" customHeight="1" x14ac:dyDescent="0.3">
      <c r="B41" s="14" t="s">
        <v>23</v>
      </c>
      <c r="C41" s="20">
        <v>1</v>
      </c>
      <c r="D41" s="16" t="s">
        <v>371</v>
      </c>
      <c r="E41" s="14">
        <v>2011</v>
      </c>
      <c r="F41" s="14" t="s">
        <v>82</v>
      </c>
      <c r="G41" s="14" t="s">
        <v>372</v>
      </c>
      <c r="H41" s="14" t="s">
        <v>373</v>
      </c>
      <c r="I41" s="17" t="s">
        <v>373</v>
      </c>
      <c r="J41" s="18">
        <v>12</v>
      </c>
      <c r="K41" s="19" t="s">
        <v>24</v>
      </c>
      <c r="L41" s="25" t="s">
        <v>641</v>
      </c>
      <c r="M41" s="16" t="s">
        <v>473</v>
      </c>
      <c r="N41" s="15">
        <v>347</v>
      </c>
      <c r="O41" s="28" t="s">
        <v>29</v>
      </c>
      <c r="S41"/>
      <c r="T41"/>
    </row>
    <row r="42" spans="2:20" ht="13.5" customHeight="1" x14ac:dyDescent="0.3">
      <c r="B42" s="14" t="s">
        <v>23</v>
      </c>
      <c r="C42" s="20">
        <v>1</v>
      </c>
      <c r="D42" s="16" t="s">
        <v>374</v>
      </c>
      <c r="E42" s="14">
        <v>2019</v>
      </c>
      <c r="F42" s="14" t="s">
        <v>82</v>
      </c>
      <c r="G42" s="14" t="s">
        <v>310</v>
      </c>
      <c r="H42" s="14" t="s">
        <v>311</v>
      </c>
      <c r="I42" s="17" t="s">
        <v>311</v>
      </c>
      <c r="J42" s="18">
        <v>28</v>
      </c>
      <c r="K42" s="19" t="s">
        <v>24</v>
      </c>
      <c r="L42" s="25" t="s">
        <v>641</v>
      </c>
      <c r="M42" s="16" t="s">
        <v>474</v>
      </c>
      <c r="N42" s="15">
        <v>1304</v>
      </c>
      <c r="O42" s="28" t="s">
        <v>29</v>
      </c>
      <c r="S42"/>
      <c r="T42"/>
    </row>
    <row r="43" spans="2:20" ht="13.5" customHeight="1" x14ac:dyDescent="0.3">
      <c r="B43" s="14" t="s">
        <v>23</v>
      </c>
      <c r="C43" s="20">
        <v>1</v>
      </c>
      <c r="D43" s="16" t="s">
        <v>375</v>
      </c>
      <c r="E43" s="14">
        <v>2015</v>
      </c>
      <c r="F43" s="14" t="s">
        <v>82</v>
      </c>
      <c r="G43" s="14" t="s">
        <v>308</v>
      </c>
      <c r="H43" s="14" t="s">
        <v>376</v>
      </c>
      <c r="I43" s="17" t="s">
        <v>376</v>
      </c>
      <c r="J43" s="18">
        <v>24</v>
      </c>
      <c r="K43" s="19" t="s">
        <v>24</v>
      </c>
      <c r="L43" s="25" t="s">
        <v>641</v>
      </c>
      <c r="M43" s="16" t="s">
        <v>475</v>
      </c>
      <c r="N43" s="15">
        <v>656</v>
      </c>
      <c r="O43" s="28" t="s">
        <v>29</v>
      </c>
      <c r="S43"/>
      <c r="T43"/>
    </row>
    <row r="44" spans="2:20" ht="13.5" customHeight="1" x14ac:dyDescent="0.3">
      <c r="B44" s="14" t="s">
        <v>23</v>
      </c>
      <c r="C44" s="20">
        <v>1</v>
      </c>
      <c r="D44" s="16" t="s">
        <v>309</v>
      </c>
      <c r="E44" s="14">
        <v>2021</v>
      </c>
      <c r="F44" s="14" t="s">
        <v>82</v>
      </c>
      <c r="G44" s="14" t="s">
        <v>310</v>
      </c>
      <c r="H44" s="14" t="s">
        <v>311</v>
      </c>
      <c r="I44" s="17" t="s">
        <v>311</v>
      </c>
      <c r="J44" s="18">
        <v>25</v>
      </c>
      <c r="K44" s="19" t="s">
        <v>24</v>
      </c>
      <c r="L44" s="25" t="s">
        <v>646</v>
      </c>
      <c r="M44" s="16" t="s">
        <v>337</v>
      </c>
      <c r="N44" s="15">
        <v>967</v>
      </c>
      <c r="O44" s="28" t="s">
        <v>29</v>
      </c>
      <c r="S44"/>
      <c r="T44"/>
    </row>
    <row r="45" spans="2:20" ht="13.5" customHeight="1" x14ac:dyDescent="0.3">
      <c r="B45" s="14" t="s">
        <v>23</v>
      </c>
      <c r="C45" s="20">
        <v>1</v>
      </c>
      <c r="D45" s="22" t="s">
        <v>312</v>
      </c>
      <c r="E45" s="14">
        <v>1999</v>
      </c>
      <c r="F45" s="14" t="s">
        <v>82</v>
      </c>
      <c r="G45" s="14" t="s">
        <v>313</v>
      </c>
      <c r="H45" s="14" t="s">
        <v>314</v>
      </c>
      <c r="I45" s="17" t="s">
        <v>314</v>
      </c>
      <c r="J45" s="18">
        <v>16</v>
      </c>
      <c r="K45" s="19" t="s">
        <v>24</v>
      </c>
      <c r="L45" s="25" t="s">
        <v>641</v>
      </c>
      <c r="M45" s="16" t="s">
        <v>338</v>
      </c>
      <c r="N45" s="15">
        <v>702</v>
      </c>
      <c r="O45" s="28" t="s">
        <v>29</v>
      </c>
      <c r="S45"/>
      <c r="T45"/>
    </row>
    <row r="46" spans="2:20" ht="13.5" customHeight="1" x14ac:dyDescent="0.3">
      <c r="B46" s="14" t="s">
        <v>23</v>
      </c>
      <c r="C46" s="15">
        <v>1</v>
      </c>
      <c r="D46" s="16" t="s">
        <v>572</v>
      </c>
      <c r="E46" s="14">
        <v>2011</v>
      </c>
      <c r="F46" s="14" t="s">
        <v>316</v>
      </c>
      <c r="G46" s="14" t="s">
        <v>122</v>
      </c>
      <c r="H46" s="14" t="s">
        <v>570</v>
      </c>
      <c r="I46" s="17" t="s">
        <v>571</v>
      </c>
      <c r="J46" s="18">
        <v>24</v>
      </c>
      <c r="K46" s="19" t="s">
        <v>24</v>
      </c>
      <c r="L46" s="25" t="s">
        <v>643</v>
      </c>
      <c r="M46" s="16" t="s">
        <v>622</v>
      </c>
      <c r="N46" s="15">
        <v>992</v>
      </c>
      <c r="O46" s="28"/>
      <c r="S46"/>
      <c r="T46"/>
    </row>
    <row r="47" spans="2:20" ht="13.5" customHeight="1" x14ac:dyDescent="0.3">
      <c r="B47" s="14" t="s">
        <v>23</v>
      </c>
      <c r="C47" s="15">
        <v>1</v>
      </c>
      <c r="D47" s="16" t="s">
        <v>1005</v>
      </c>
      <c r="E47" s="14">
        <v>2011</v>
      </c>
      <c r="F47" s="14" t="s">
        <v>316</v>
      </c>
      <c r="G47" s="14" t="s">
        <v>116</v>
      </c>
      <c r="H47" s="14" t="s">
        <v>117</v>
      </c>
      <c r="I47" s="17" t="s">
        <v>378</v>
      </c>
      <c r="J47" s="18">
        <v>18</v>
      </c>
      <c r="K47" s="19" t="s">
        <v>24</v>
      </c>
      <c r="L47" s="25" t="s">
        <v>640</v>
      </c>
      <c r="M47" s="16" t="s">
        <v>477</v>
      </c>
      <c r="N47" s="15">
        <v>729</v>
      </c>
      <c r="O47" s="28"/>
      <c r="S47"/>
      <c r="T47"/>
    </row>
    <row r="48" spans="2:20" ht="13.5" customHeight="1" x14ac:dyDescent="0.3">
      <c r="B48" s="14" t="s">
        <v>30</v>
      </c>
      <c r="C48" s="15">
        <v>1</v>
      </c>
      <c r="D48" s="16" t="s">
        <v>651</v>
      </c>
      <c r="E48" s="14">
        <v>2000</v>
      </c>
      <c r="F48" s="14" t="s">
        <v>316</v>
      </c>
      <c r="G48" s="14" t="s">
        <v>116</v>
      </c>
      <c r="H48" s="14" t="s">
        <v>117</v>
      </c>
      <c r="I48" s="17" t="s">
        <v>652</v>
      </c>
      <c r="J48" s="18">
        <v>20</v>
      </c>
      <c r="K48" s="19" t="s">
        <v>24</v>
      </c>
      <c r="L48" s="25" t="s">
        <v>646</v>
      </c>
      <c r="M48" s="16" t="s">
        <v>911</v>
      </c>
      <c r="N48" s="15">
        <v>1058</v>
      </c>
      <c r="O48" s="28"/>
      <c r="S48"/>
      <c r="T48"/>
    </row>
    <row r="49" spans="2:20" ht="13.5" customHeight="1" x14ac:dyDescent="0.3">
      <c r="B49" s="14" t="s">
        <v>23</v>
      </c>
      <c r="C49" s="15">
        <v>1</v>
      </c>
      <c r="D49" s="16" t="s">
        <v>379</v>
      </c>
      <c r="E49" s="14">
        <v>2011</v>
      </c>
      <c r="F49" s="14" t="s">
        <v>316</v>
      </c>
      <c r="G49" s="14" t="s">
        <v>116</v>
      </c>
      <c r="H49" s="14" t="s">
        <v>117</v>
      </c>
      <c r="I49" s="17" t="s">
        <v>378</v>
      </c>
      <c r="J49" s="18">
        <v>13</v>
      </c>
      <c r="K49" s="19" t="s">
        <v>24</v>
      </c>
      <c r="L49" s="25" t="s">
        <v>646</v>
      </c>
      <c r="M49" s="16" t="s">
        <v>478</v>
      </c>
      <c r="N49" s="15">
        <v>632</v>
      </c>
      <c r="O49" s="28"/>
      <c r="S49"/>
      <c r="T49"/>
    </row>
    <row r="50" spans="2:20" ht="13.5" customHeight="1" x14ac:dyDescent="0.3">
      <c r="B50" s="14" t="s">
        <v>23</v>
      </c>
      <c r="C50" s="20">
        <v>1</v>
      </c>
      <c r="D50" s="16" t="s">
        <v>315</v>
      </c>
      <c r="E50" s="14">
        <v>2018</v>
      </c>
      <c r="F50" s="14" t="s">
        <v>316</v>
      </c>
      <c r="G50" s="14" t="s">
        <v>116</v>
      </c>
      <c r="H50" s="14" t="s">
        <v>117</v>
      </c>
      <c r="I50" s="17" t="s">
        <v>117</v>
      </c>
      <c r="J50" s="18">
        <v>53</v>
      </c>
      <c r="K50" s="19" t="s">
        <v>24</v>
      </c>
      <c r="L50" s="25" t="s">
        <v>640</v>
      </c>
      <c r="M50" s="16" t="s">
        <v>339</v>
      </c>
      <c r="N50" s="15">
        <v>2610</v>
      </c>
      <c r="O50" s="28"/>
      <c r="S50"/>
      <c r="T50"/>
    </row>
    <row r="51" spans="2:20" ht="13.5" customHeight="1" x14ac:dyDescent="0.3">
      <c r="B51" s="14" t="s">
        <v>23</v>
      </c>
      <c r="C51" s="20">
        <v>1</v>
      </c>
      <c r="D51" s="16" t="s">
        <v>653</v>
      </c>
      <c r="E51" s="14">
        <v>2018</v>
      </c>
      <c r="F51" s="14" t="s">
        <v>316</v>
      </c>
      <c r="G51" s="14" t="s">
        <v>28</v>
      </c>
      <c r="H51" s="14" t="s">
        <v>247</v>
      </c>
      <c r="I51" s="17" t="s">
        <v>247</v>
      </c>
      <c r="J51" s="18">
        <v>37</v>
      </c>
      <c r="K51" s="19" t="s">
        <v>24</v>
      </c>
      <c r="L51" s="25" t="s">
        <v>640</v>
      </c>
      <c r="M51" s="16" t="s">
        <v>613</v>
      </c>
      <c r="N51" s="15">
        <v>1520</v>
      </c>
      <c r="O51" s="28"/>
      <c r="S51"/>
      <c r="T51"/>
    </row>
    <row r="52" spans="2:20" ht="13.5" customHeight="1" x14ac:dyDescent="0.3">
      <c r="B52" s="14" t="s">
        <v>23</v>
      </c>
      <c r="C52" s="20">
        <v>1</v>
      </c>
      <c r="D52" s="16" t="s">
        <v>654</v>
      </c>
      <c r="E52" s="14">
        <v>1994</v>
      </c>
      <c r="F52" s="14" t="s">
        <v>316</v>
      </c>
      <c r="G52" s="14" t="s">
        <v>116</v>
      </c>
      <c r="H52" s="14" t="s">
        <v>117</v>
      </c>
      <c r="I52" s="17" t="s">
        <v>117</v>
      </c>
      <c r="J52" s="18">
        <v>98</v>
      </c>
      <c r="K52" s="19" t="s">
        <v>24</v>
      </c>
      <c r="L52" s="25" t="s">
        <v>646</v>
      </c>
      <c r="M52" s="16" t="s">
        <v>912</v>
      </c>
      <c r="N52" s="15">
        <v>3100</v>
      </c>
      <c r="O52" s="28"/>
      <c r="S52"/>
      <c r="T52"/>
    </row>
    <row r="53" spans="2:20" ht="13.5" customHeight="1" x14ac:dyDescent="0.3">
      <c r="B53" s="14" t="s">
        <v>23</v>
      </c>
      <c r="C53" s="20">
        <v>1</v>
      </c>
      <c r="D53" s="16" t="s">
        <v>573</v>
      </c>
      <c r="E53" s="14">
        <v>2000</v>
      </c>
      <c r="F53" s="14" t="s">
        <v>316</v>
      </c>
      <c r="G53" s="14" t="s">
        <v>569</v>
      </c>
      <c r="H53" s="14" t="s">
        <v>523</v>
      </c>
      <c r="I53" s="17" t="s">
        <v>523</v>
      </c>
      <c r="J53" s="18">
        <v>15</v>
      </c>
      <c r="K53" s="19" t="s">
        <v>24</v>
      </c>
      <c r="L53" s="25" t="s">
        <v>640</v>
      </c>
      <c r="M53" s="16">
        <v>34</v>
      </c>
      <c r="N53" s="15">
        <v>960</v>
      </c>
      <c r="O53" s="28"/>
      <c r="S53"/>
      <c r="T53"/>
    </row>
    <row r="54" spans="2:20" ht="13.5" customHeight="1" x14ac:dyDescent="0.3">
      <c r="B54" s="14" t="s">
        <v>23</v>
      </c>
      <c r="C54" s="20">
        <v>1</v>
      </c>
      <c r="D54" s="16" t="s">
        <v>380</v>
      </c>
      <c r="E54" s="14">
        <v>2022</v>
      </c>
      <c r="F54" s="14" t="s">
        <v>316</v>
      </c>
      <c r="G54" s="14" t="s">
        <v>116</v>
      </c>
      <c r="H54" s="14" t="s">
        <v>117</v>
      </c>
      <c r="I54" s="17" t="s">
        <v>117</v>
      </c>
      <c r="J54" s="18">
        <v>21</v>
      </c>
      <c r="K54" s="19" t="s">
        <v>24</v>
      </c>
      <c r="L54" s="25" t="s">
        <v>646</v>
      </c>
      <c r="M54" s="16" t="s">
        <v>479</v>
      </c>
      <c r="N54" s="15">
        <v>856</v>
      </c>
      <c r="O54" s="28"/>
      <c r="S54"/>
      <c r="T54"/>
    </row>
    <row r="55" spans="2:20" ht="13.5" customHeight="1" x14ac:dyDescent="0.3">
      <c r="B55" s="14" t="s">
        <v>23</v>
      </c>
      <c r="C55" s="20">
        <v>1</v>
      </c>
      <c r="D55" s="16" t="s">
        <v>574</v>
      </c>
      <c r="E55" s="14">
        <v>2005</v>
      </c>
      <c r="F55" s="14" t="s">
        <v>316</v>
      </c>
      <c r="G55" s="14" t="s">
        <v>116</v>
      </c>
      <c r="H55" s="14" t="s">
        <v>575</v>
      </c>
      <c r="I55" s="17" t="s">
        <v>575</v>
      </c>
      <c r="J55" s="18">
        <v>25</v>
      </c>
      <c r="K55" s="19" t="s">
        <v>24</v>
      </c>
      <c r="L55" s="25" t="s">
        <v>640</v>
      </c>
      <c r="M55" s="16" t="s">
        <v>623</v>
      </c>
      <c r="N55" s="15">
        <v>1180</v>
      </c>
      <c r="O55" s="28"/>
      <c r="S55"/>
      <c r="T55"/>
    </row>
    <row r="56" spans="2:20" ht="13.5" customHeight="1" x14ac:dyDescent="0.3">
      <c r="B56" s="14" t="s">
        <v>23</v>
      </c>
      <c r="C56" s="20">
        <v>1</v>
      </c>
      <c r="D56" s="16" t="s">
        <v>576</v>
      </c>
      <c r="E56" s="14">
        <v>2011</v>
      </c>
      <c r="F56" s="14" t="s">
        <v>316</v>
      </c>
      <c r="G56" s="14" t="s">
        <v>122</v>
      </c>
      <c r="H56" s="14" t="s">
        <v>381</v>
      </c>
      <c r="I56" s="17" t="s">
        <v>381</v>
      </c>
      <c r="J56" s="18">
        <v>28</v>
      </c>
      <c r="K56" s="19" t="s">
        <v>24</v>
      </c>
      <c r="L56" s="25" t="s">
        <v>640</v>
      </c>
      <c r="M56" s="16" t="s">
        <v>133</v>
      </c>
      <c r="N56" s="15">
        <v>1268</v>
      </c>
      <c r="O56" s="28"/>
      <c r="S56"/>
      <c r="T56"/>
    </row>
    <row r="57" spans="2:20" ht="13.5" customHeight="1" x14ac:dyDescent="0.3">
      <c r="B57" s="14" t="s">
        <v>23</v>
      </c>
      <c r="C57" s="20">
        <v>1</v>
      </c>
      <c r="D57" s="16" t="s">
        <v>577</v>
      </c>
      <c r="E57" s="14">
        <v>2010</v>
      </c>
      <c r="F57" s="14" t="s">
        <v>316</v>
      </c>
      <c r="G57" s="14" t="s">
        <v>122</v>
      </c>
      <c r="H57" s="14" t="s">
        <v>578</v>
      </c>
      <c r="I57" s="17" t="s">
        <v>578</v>
      </c>
      <c r="J57" s="18">
        <v>52</v>
      </c>
      <c r="K57" s="19" t="s">
        <v>24</v>
      </c>
      <c r="L57" s="25" t="s">
        <v>646</v>
      </c>
      <c r="M57" s="16" t="s">
        <v>624</v>
      </c>
      <c r="N57" s="15">
        <v>2378</v>
      </c>
      <c r="O57" s="28"/>
      <c r="S57"/>
      <c r="T57"/>
    </row>
    <row r="58" spans="2:20" ht="13.5" customHeight="1" x14ac:dyDescent="0.3">
      <c r="B58" s="14" t="s">
        <v>23</v>
      </c>
      <c r="C58" s="20">
        <v>1</v>
      </c>
      <c r="D58" s="16" t="s">
        <v>382</v>
      </c>
      <c r="E58" s="14">
        <v>2022</v>
      </c>
      <c r="F58" s="14" t="s">
        <v>316</v>
      </c>
      <c r="G58" s="14" t="s">
        <v>122</v>
      </c>
      <c r="H58" s="14" t="s">
        <v>381</v>
      </c>
      <c r="I58" s="17" t="s">
        <v>381</v>
      </c>
      <c r="J58" s="18">
        <v>15</v>
      </c>
      <c r="K58" s="19" t="s">
        <v>24</v>
      </c>
      <c r="L58" s="25" t="s">
        <v>643</v>
      </c>
      <c r="M58" s="16" t="s">
        <v>480</v>
      </c>
      <c r="N58" s="15">
        <v>722</v>
      </c>
      <c r="O58" s="28"/>
      <c r="S58"/>
      <c r="T58"/>
    </row>
    <row r="59" spans="2:20" ht="13.5" customHeight="1" x14ac:dyDescent="0.3">
      <c r="B59" s="14" t="s">
        <v>23</v>
      </c>
      <c r="C59" s="20">
        <v>1</v>
      </c>
      <c r="D59" s="16" t="s">
        <v>579</v>
      </c>
      <c r="E59" s="14">
        <v>2015</v>
      </c>
      <c r="F59" s="14" t="s">
        <v>316</v>
      </c>
      <c r="G59" s="14" t="s">
        <v>122</v>
      </c>
      <c r="H59" s="14" t="s">
        <v>381</v>
      </c>
      <c r="I59" s="17" t="s">
        <v>381</v>
      </c>
      <c r="J59" s="18">
        <v>30</v>
      </c>
      <c r="K59" s="19" t="s">
        <v>24</v>
      </c>
      <c r="L59" s="25" t="s">
        <v>640</v>
      </c>
      <c r="M59" s="16" t="s">
        <v>626</v>
      </c>
      <c r="N59" s="15">
        <v>1249</v>
      </c>
      <c r="O59" s="28"/>
      <c r="S59"/>
      <c r="T59"/>
    </row>
    <row r="60" spans="2:20" ht="13.5" customHeight="1" x14ac:dyDescent="0.3">
      <c r="B60" s="14" t="s">
        <v>23</v>
      </c>
      <c r="C60" s="20">
        <v>1</v>
      </c>
      <c r="D60" s="16" t="s">
        <v>383</v>
      </c>
      <c r="E60" s="14">
        <v>2016</v>
      </c>
      <c r="F60" s="14" t="s">
        <v>316</v>
      </c>
      <c r="G60" s="14" t="s">
        <v>116</v>
      </c>
      <c r="H60" s="14" t="s">
        <v>117</v>
      </c>
      <c r="I60" s="17" t="s">
        <v>117</v>
      </c>
      <c r="J60" s="18">
        <v>15</v>
      </c>
      <c r="K60" s="19" t="s">
        <v>24</v>
      </c>
      <c r="L60" s="25" t="s">
        <v>640</v>
      </c>
      <c r="M60" s="16" t="s">
        <v>481</v>
      </c>
      <c r="N60" s="15">
        <v>780</v>
      </c>
      <c r="O60" s="28"/>
      <c r="S60"/>
      <c r="T60"/>
    </row>
    <row r="61" spans="2:20" ht="13.5" customHeight="1" x14ac:dyDescent="0.3">
      <c r="B61" s="14" t="s">
        <v>23</v>
      </c>
      <c r="C61" s="20">
        <v>1</v>
      </c>
      <c r="D61" s="26" t="s">
        <v>581</v>
      </c>
      <c r="E61" s="14">
        <v>2019</v>
      </c>
      <c r="F61" s="14" t="s">
        <v>316</v>
      </c>
      <c r="G61" s="14" t="s">
        <v>122</v>
      </c>
      <c r="H61" s="14" t="s">
        <v>122</v>
      </c>
      <c r="I61" s="17" t="s">
        <v>580</v>
      </c>
      <c r="J61" s="18">
        <v>17</v>
      </c>
      <c r="K61" s="19" t="s">
        <v>24</v>
      </c>
      <c r="L61" s="25" t="s">
        <v>640</v>
      </c>
      <c r="M61" s="16" t="s">
        <v>627</v>
      </c>
      <c r="N61" s="15">
        <v>1000</v>
      </c>
      <c r="O61" s="28"/>
      <c r="S61"/>
      <c r="T61"/>
    </row>
    <row r="62" spans="2:20" ht="13.5" customHeight="1" x14ac:dyDescent="0.3">
      <c r="B62" s="14" t="s">
        <v>23</v>
      </c>
      <c r="C62" s="20">
        <v>1</v>
      </c>
      <c r="D62" s="26" t="s">
        <v>582</v>
      </c>
      <c r="E62" s="14">
        <v>2003</v>
      </c>
      <c r="F62" s="14" t="s">
        <v>316</v>
      </c>
      <c r="G62" s="14" t="s">
        <v>116</v>
      </c>
      <c r="H62" s="14" t="s">
        <v>316</v>
      </c>
      <c r="I62" s="17" t="s">
        <v>117</v>
      </c>
      <c r="J62" s="18">
        <v>10</v>
      </c>
      <c r="K62" s="19" t="s">
        <v>24</v>
      </c>
      <c r="L62" s="25" t="s">
        <v>646</v>
      </c>
      <c r="M62" s="16" t="s">
        <v>628</v>
      </c>
      <c r="N62" s="15">
        <v>351</v>
      </c>
      <c r="O62" s="28"/>
      <c r="S62"/>
      <c r="T62"/>
    </row>
    <row r="63" spans="2:20" ht="13.5" customHeight="1" x14ac:dyDescent="0.3">
      <c r="B63" s="14" t="s">
        <v>23</v>
      </c>
      <c r="C63" s="20">
        <v>1</v>
      </c>
      <c r="D63" s="26" t="s">
        <v>583</v>
      </c>
      <c r="E63" s="14">
        <v>1996</v>
      </c>
      <c r="F63" s="14" t="s">
        <v>316</v>
      </c>
      <c r="G63" s="14" t="s">
        <v>28</v>
      </c>
      <c r="H63" s="14" t="s">
        <v>584</v>
      </c>
      <c r="I63" s="17" t="s">
        <v>247</v>
      </c>
      <c r="J63" s="18">
        <v>22</v>
      </c>
      <c r="K63" s="19" t="s">
        <v>24</v>
      </c>
      <c r="L63" s="25" t="s">
        <v>640</v>
      </c>
      <c r="M63" s="16" t="s">
        <v>629</v>
      </c>
      <c r="N63" s="15">
        <v>1365</v>
      </c>
      <c r="O63" s="28"/>
      <c r="S63"/>
      <c r="T63"/>
    </row>
    <row r="64" spans="2:20" ht="13.5" customHeight="1" x14ac:dyDescent="0.3">
      <c r="B64" s="14" t="s">
        <v>23</v>
      </c>
      <c r="C64" s="20">
        <v>1</v>
      </c>
      <c r="D64" s="26" t="s">
        <v>655</v>
      </c>
      <c r="E64" s="14">
        <v>2019</v>
      </c>
      <c r="F64" s="14" t="s">
        <v>316</v>
      </c>
      <c r="G64" s="14" t="s">
        <v>28</v>
      </c>
      <c r="H64" s="14" t="s">
        <v>247</v>
      </c>
      <c r="I64" s="17" t="s">
        <v>247</v>
      </c>
      <c r="J64" s="18">
        <v>12</v>
      </c>
      <c r="K64" s="19" t="s">
        <v>24</v>
      </c>
      <c r="L64" s="25" t="s">
        <v>641</v>
      </c>
      <c r="M64" s="16">
        <v>24</v>
      </c>
      <c r="N64" s="15">
        <v>562</v>
      </c>
      <c r="O64" s="28" t="s">
        <v>29</v>
      </c>
      <c r="S64"/>
      <c r="T64"/>
    </row>
    <row r="65" spans="2:20" ht="13.5" customHeight="1" x14ac:dyDescent="0.3">
      <c r="B65" s="14" t="s">
        <v>23</v>
      </c>
      <c r="C65" s="20">
        <v>1</v>
      </c>
      <c r="D65" s="16" t="s">
        <v>384</v>
      </c>
      <c r="E65" s="14">
        <v>2020</v>
      </c>
      <c r="F65" s="14" t="s">
        <v>316</v>
      </c>
      <c r="G65" s="14" t="s">
        <v>385</v>
      </c>
      <c r="H65" s="14" t="s">
        <v>386</v>
      </c>
      <c r="I65" s="17" t="s">
        <v>386</v>
      </c>
      <c r="J65" s="18">
        <v>16</v>
      </c>
      <c r="K65" s="19" t="s">
        <v>24</v>
      </c>
      <c r="L65" s="25" t="s">
        <v>640</v>
      </c>
      <c r="M65" s="16" t="s">
        <v>482</v>
      </c>
      <c r="N65" s="15">
        <v>848</v>
      </c>
      <c r="O65" s="28" t="s">
        <v>29</v>
      </c>
      <c r="S65"/>
      <c r="T65"/>
    </row>
    <row r="66" spans="2:20" ht="13.5" customHeight="1" x14ac:dyDescent="0.3">
      <c r="B66" s="14" t="s">
        <v>23</v>
      </c>
      <c r="C66" s="20">
        <v>1</v>
      </c>
      <c r="D66" s="22" t="s">
        <v>585</v>
      </c>
      <c r="E66" s="14">
        <v>1989</v>
      </c>
      <c r="F66" s="14" t="s">
        <v>316</v>
      </c>
      <c r="G66" s="14" t="s">
        <v>385</v>
      </c>
      <c r="H66" s="14" t="s">
        <v>388</v>
      </c>
      <c r="I66" s="17" t="s">
        <v>388</v>
      </c>
      <c r="J66" s="18">
        <v>42</v>
      </c>
      <c r="K66" s="19" t="s">
        <v>24</v>
      </c>
      <c r="L66" s="25" t="s">
        <v>646</v>
      </c>
      <c r="M66" s="16" t="s">
        <v>630</v>
      </c>
      <c r="N66" s="15">
        <v>2054</v>
      </c>
      <c r="O66" s="28"/>
      <c r="S66"/>
      <c r="T66"/>
    </row>
    <row r="67" spans="2:20" ht="13.5" customHeight="1" x14ac:dyDescent="0.3">
      <c r="B67" s="14" t="s">
        <v>23</v>
      </c>
      <c r="C67" s="20">
        <v>1</v>
      </c>
      <c r="D67" s="22" t="s">
        <v>586</v>
      </c>
      <c r="E67" s="14">
        <v>2022</v>
      </c>
      <c r="F67" s="14" t="s">
        <v>316</v>
      </c>
      <c r="G67" s="14" t="s">
        <v>122</v>
      </c>
      <c r="H67" s="14" t="s">
        <v>381</v>
      </c>
      <c r="I67" s="17" t="s">
        <v>381</v>
      </c>
      <c r="J67" s="18">
        <v>23</v>
      </c>
      <c r="K67" s="19" t="s">
        <v>24</v>
      </c>
      <c r="L67" s="25" t="s">
        <v>640</v>
      </c>
      <c r="M67" s="16">
        <v>34</v>
      </c>
      <c r="N67" s="15">
        <v>887</v>
      </c>
      <c r="O67" s="28"/>
      <c r="S67"/>
      <c r="T67"/>
    </row>
    <row r="68" spans="2:20" ht="13.5" customHeight="1" x14ac:dyDescent="0.3">
      <c r="B68" s="14" t="s">
        <v>23</v>
      </c>
      <c r="C68" s="20">
        <v>1</v>
      </c>
      <c r="D68" s="22" t="s">
        <v>587</v>
      </c>
      <c r="E68" s="14">
        <v>2010</v>
      </c>
      <c r="F68" s="14" t="s">
        <v>316</v>
      </c>
      <c r="G68" s="14" t="s">
        <v>385</v>
      </c>
      <c r="H68" s="14" t="s">
        <v>388</v>
      </c>
      <c r="I68" s="17" t="s">
        <v>388</v>
      </c>
      <c r="J68" s="18">
        <v>43</v>
      </c>
      <c r="K68" s="19" t="s">
        <v>24</v>
      </c>
      <c r="L68" s="25" t="s">
        <v>643</v>
      </c>
      <c r="M68" s="16" t="s">
        <v>631</v>
      </c>
      <c r="N68" s="15">
        <v>1509</v>
      </c>
      <c r="O68" s="28"/>
      <c r="S68"/>
      <c r="T68"/>
    </row>
    <row r="69" spans="2:20" ht="13.5" customHeight="1" x14ac:dyDescent="0.3">
      <c r="B69" s="14" t="s">
        <v>23</v>
      </c>
      <c r="C69" s="20">
        <v>1</v>
      </c>
      <c r="D69" s="22" t="s">
        <v>387</v>
      </c>
      <c r="E69" s="14">
        <v>2023</v>
      </c>
      <c r="F69" s="14" t="s">
        <v>316</v>
      </c>
      <c r="G69" s="14" t="s">
        <v>385</v>
      </c>
      <c r="H69" s="14" t="s">
        <v>388</v>
      </c>
      <c r="I69" s="17" t="s">
        <v>388</v>
      </c>
      <c r="J69" s="18">
        <v>69</v>
      </c>
      <c r="K69" s="19" t="s">
        <v>24</v>
      </c>
      <c r="L69" s="25" t="s">
        <v>646</v>
      </c>
      <c r="M69" s="16" t="s">
        <v>483</v>
      </c>
      <c r="N69" s="15">
        <v>2958</v>
      </c>
      <c r="O69" s="28"/>
      <c r="S69"/>
      <c r="T69"/>
    </row>
    <row r="70" spans="2:20" ht="13.5" customHeight="1" x14ac:dyDescent="0.3">
      <c r="B70" s="14" t="s">
        <v>23</v>
      </c>
      <c r="C70" s="20">
        <v>1</v>
      </c>
      <c r="D70" s="22" t="s">
        <v>656</v>
      </c>
      <c r="E70" s="14">
        <v>1997</v>
      </c>
      <c r="F70" s="14" t="s">
        <v>657</v>
      </c>
      <c r="G70" s="14" t="s">
        <v>658</v>
      </c>
      <c r="H70" s="14" t="s">
        <v>659</v>
      </c>
      <c r="I70" s="17" t="s">
        <v>659</v>
      </c>
      <c r="J70" s="18">
        <v>16</v>
      </c>
      <c r="K70" s="19" t="s">
        <v>24</v>
      </c>
      <c r="L70" s="25" t="s">
        <v>642</v>
      </c>
      <c r="M70" s="16" t="s">
        <v>913</v>
      </c>
      <c r="N70" s="15">
        <v>525</v>
      </c>
      <c r="O70" s="28" t="s">
        <v>29</v>
      </c>
      <c r="S70"/>
      <c r="T70"/>
    </row>
    <row r="71" spans="2:20" ht="13.5" customHeight="1" x14ac:dyDescent="0.3">
      <c r="B71" s="14" t="s">
        <v>23</v>
      </c>
      <c r="C71" s="37">
        <v>1</v>
      </c>
      <c r="D71" s="16" t="s">
        <v>660</v>
      </c>
      <c r="E71" s="14">
        <v>2001</v>
      </c>
      <c r="F71" s="14" t="s">
        <v>119</v>
      </c>
      <c r="G71" s="14" t="s">
        <v>120</v>
      </c>
      <c r="H71" s="14" t="s">
        <v>661</v>
      </c>
      <c r="I71" s="17" t="s">
        <v>662</v>
      </c>
      <c r="J71" s="18">
        <v>29</v>
      </c>
      <c r="K71" s="19" t="s">
        <v>24</v>
      </c>
      <c r="L71" s="25" t="s">
        <v>646</v>
      </c>
      <c r="M71" s="16">
        <v>26</v>
      </c>
      <c r="N71" s="15">
        <v>1084</v>
      </c>
      <c r="O71" s="28"/>
      <c r="S71"/>
      <c r="T71"/>
    </row>
    <row r="72" spans="2:20" ht="13.5" customHeight="1" x14ac:dyDescent="0.3">
      <c r="B72" s="14" t="s">
        <v>23</v>
      </c>
      <c r="C72" s="40">
        <v>1</v>
      </c>
      <c r="D72" s="39" t="s">
        <v>663</v>
      </c>
      <c r="E72" s="14">
        <v>2004</v>
      </c>
      <c r="F72" s="14" t="s">
        <v>119</v>
      </c>
      <c r="G72" s="14" t="s">
        <v>28</v>
      </c>
      <c r="H72" s="14" t="s">
        <v>664</v>
      </c>
      <c r="I72" s="17" t="s">
        <v>665</v>
      </c>
      <c r="J72" s="18">
        <v>20</v>
      </c>
      <c r="K72" s="19" t="s">
        <v>24</v>
      </c>
      <c r="L72" s="25" t="s">
        <v>646</v>
      </c>
      <c r="M72" s="16" t="s">
        <v>914</v>
      </c>
      <c r="N72" s="15">
        <v>544</v>
      </c>
      <c r="O72" s="28"/>
      <c r="S72"/>
      <c r="T72"/>
    </row>
    <row r="73" spans="2:20" ht="13.5" customHeight="1" x14ac:dyDescent="0.3">
      <c r="B73" s="14" t="s">
        <v>23</v>
      </c>
      <c r="C73" s="20">
        <v>1</v>
      </c>
      <c r="D73" s="16" t="s">
        <v>666</v>
      </c>
      <c r="E73" s="14">
        <v>2001</v>
      </c>
      <c r="F73" s="14" t="s">
        <v>119</v>
      </c>
      <c r="G73" s="14" t="s">
        <v>47</v>
      </c>
      <c r="H73" s="14" t="s">
        <v>667</v>
      </c>
      <c r="I73" s="17" t="s">
        <v>667</v>
      </c>
      <c r="J73" s="18">
        <v>50</v>
      </c>
      <c r="K73" s="19" t="s">
        <v>24</v>
      </c>
      <c r="L73" s="25" t="s">
        <v>646</v>
      </c>
      <c r="M73" s="16" t="s">
        <v>915</v>
      </c>
      <c r="N73" s="15">
        <v>2267</v>
      </c>
      <c r="O73" s="28"/>
      <c r="S73"/>
      <c r="T73"/>
    </row>
    <row r="74" spans="2:20" ht="13.5" customHeight="1" x14ac:dyDescent="0.3">
      <c r="B74" s="14" t="s">
        <v>23</v>
      </c>
      <c r="C74" s="20">
        <v>1</v>
      </c>
      <c r="D74" s="16" t="s">
        <v>118</v>
      </c>
      <c r="E74" s="14">
        <v>1992</v>
      </c>
      <c r="F74" s="14" t="s">
        <v>119</v>
      </c>
      <c r="G74" s="14" t="s">
        <v>120</v>
      </c>
      <c r="H74" s="14" t="s">
        <v>121</v>
      </c>
      <c r="I74" s="17" t="s">
        <v>121</v>
      </c>
      <c r="J74" s="18">
        <v>29</v>
      </c>
      <c r="K74" s="19" t="s">
        <v>24</v>
      </c>
      <c r="L74" s="25" t="s">
        <v>640</v>
      </c>
      <c r="M74" s="16" t="s">
        <v>132</v>
      </c>
      <c r="N74" s="15">
        <v>1254</v>
      </c>
      <c r="O74" s="28"/>
      <c r="S74"/>
      <c r="T74"/>
    </row>
    <row r="75" spans="2:20" ht="13.5" customHeight="1" x14ac:dyDescent="0.3">
      <c r="B75" s="14" t="s">
        <v>23</v>
      </c>
      <c r="C75" s="20">
        <v>1</v>
      </c>
      <c r="D75" s="16" t="s">
        <v>668</v>
      </c>
      <c r="E75" s="14">
        <v>2016</v>
      </c>
      <c r="F75" s="14" t="s">
        <v>119</v>
      </c>
      <c r="G75" s="14" t="s">
        <v>122</v>
      </c>
      <c r="H75" s="14" t="s">
        <v>318</v>
      </c>
      <c r="I75" s="17" t="s">
        <v>318</v>
      </c>
      <c r="J75" s="18">
        <v>24</v>
      </c>
      <c r="K75" s="19" t="s">
        <v>24</v>
      </c>
      <c r="L75" s="25" t="s">
        <v>643</v>
      </c>
      <c r="M75" s="16" t="s">
        <v>916</v>
      </c>
      <c r="N75" s="15">
        <v>700</v>
      </c>
      <c r="O75" s="28"/>
      <c r="S75"/>
      <c r="T75"/>
    </row>
    <row r="76" spans="2:20" ht="13.5" customHeight="1" x14ac:dyDescent="0.3">
      <c r="B76" s="14" t="s">
        <v>23</v>
      </c>
      <c r="C76" s="20">
        <v>1</v>
      </c>
      <c r="D76" s="16" t="s">
        <v>669</v>
      </c>
      <c r="E76" s="14">
        <v>2007</v>
      </c>
      <c r="F76" s="14" t="s">
        <v>119</v>
      </c>
      <c r="G76" s="14" t="s">
        <v>28</v>
      </c>
      <c r="H76" s="14" t="s">
        <v>231</v>
      </c>
      <c r="I76" s="17" t="s">
        <v>231</v>
      </c>
      <c r="J76" s="18">
        <v>5</v>
      </c>
      <c r="K76" s="19" t="s">
        <v>24</v>
      </c>
      <c r="L76" s="25" t="s">
        <v>640</v>
      </c>
      <c r="M76" s="16" t="s">
        <v>917</v>
      </c>
      <c r="N76" s="15">
        <v>234</v>
      </c>
      <c r="O76" s="28"/>
      <c r="S76"/>
      <c r="T76"/>
    </row>
    <row r="77" spans="2:20" ht="13.5" customHeight="1" x14ac:dyDescent="0.3">
      <c r="B77" s="14" t="s">
        <v>23</v>
      </c>
      <c r="C77" s="20">
        <v>1</v>
      </c>
      <c r="D77" s="16" t="s">
        <v>389</v>
      </c>
      <c r="E77" s="14">
        <v>1999</v>
      </c>
      <c r="F77" s="14" t="s">
        <v>119</v>
      </c>
      <c r="G77" s="14" t="s">
        <v>122</v>
      </c>
      <c r="H77" s="14" t="s">
        <v>390</v>
      </c>
      <c r="I77" s="17" t="s">
        <v>390</v>
      </c>
      <c r="J77" s="18">
        <v>34</v>
      </c>
      <c r="K77" s="19" t="s">
        <v>24</v>
      </c>
      <c r="L77" s="25" t="s">
        <v>640</v>
      </c>
      <c r="M77" s="16" t="s">
        <v>484</v>
      </c>
      <c r="N77" s="15">
        <v>1691</v>
      </c>
      <c r="O77" s="28"/>
      <c r="S77"/>
      <c r="T77"/>
    </row>
    <row r="78" spans="2:20" ht="13.5" customHeight="1" x14ac:dyDescent="0.3">
      <c r="B78" s="14" t="s">
        <v>23</v>
      </c>
      <c r="C78" s="20">
        <v>1</v>
      </c>
      <c r="D78" s="16" t="s">
        <v>670</v>
      </c>
      <c r="E78" s="14">
        <v>2014</v>
      </c>
      <c r="F78" s="14" t="s">
        <v>119</v>
      </c>
      <c r="G78" s="14" t="s">
        <v>120</v>
      </c>
      <c r="H78" s="14" t="s">
        <v>671</v>
      </c>
      <c r="I78" s="17" t="s">
        <v>671</v>
      </c>
      <c r="J78" s="18">
        <v>24</v>
      </c>
      <c r="K78" s="19" t="s">
        <v>24</v>
      </c>
      <c r="L78" s="25" t="s">
        <v>640</v>
      </c>
      <c r="M78" s="16">
        <v>35</v>
      </c>
      <c r="N78" s="15">
        <v>1102</v>
      </c>
      <c r="O78" s="28"/>
      <c r="S78"/>
      <c r="T78"/>
    </row>
    <row r="79" spans="2:20" ht="13.5" customHeight="1" x14ac:dyDescent="0.3">
      <c r="B79" s="14" t="s">
        <v>23</v>
      </c>
      <c r="C79" s="20">
        <v>1</v>
      </c>
      <c r="D79" s="16" t="s">
        <v>672</v>
      </c>
      <c r="E79" s="14">
        <v>2016</v>
      </c>
      <c r="F79" s="14" t="s">
        <v>119</v>
      </c>
      <c r="G79" s="14" t="s">
        <v>47</v>
      </c>
      <c r="H79" s="14" t="s">
        <v>667</v>
      </c>
      <c r="I79" s="17" t="s">
        <v>667</v>
      </c>
      <c r="J79" s="18">
        <v>7</v>
      </c>
      <c r="K79" s="19" t="s">
        <v>24</v>
      </c>
      <c r="L79" s="25" t="s">
        <v>640</v>
      </c>
      <c r="M79" s="16">
        <v>33</v>
      </c>
      <c r="N79" s="15">
        <v>210</v>
      </c>
      <c r="O79" s="28"/>
      <c r="S79"/>
      <c r="T79"/>
    </row>
    <row r="80" spans="2:20" ht="13.5" customHeight="1" x14ac:dyDescent="0.3">
      <c r="B80" s="14" t="s">
        <v>23</v>
      </c>
      <c r="C80" s="20">
        <v>1</v>
      </c>
      <c r="D80" s="16" t="s">
        <v>391</v>
      </c>
      <c r="E80" s="14">
        <v>2018</v>
      </c>
      <c r="F80" s="14" t="s">
        <v>119</v>
      </c>
      <c r="G80" s="14" t="s">
        <v>120</v>
      </c>
      <c r="H80" s="14" t="s">
        <v>392</v>
      </c>
      <c r="I80" s="17" t="s">
        <v>392</v>
      </c>
      <c r="J80" s="18">
        <v>26</v>
      </c>
      <c r="K80" s="19" t="s">
        <v>24</v>
      </c>
      <c r="L80" s="25" t="s">
        <v>640</v>
      </c>
      <c r="M80" s="16" t="s">
        <v>133</v>
      </c>
      <c r="N80" s="15">
        <v>1056</v>
      </c>
      <c r="O80" s="28"/>
      <c r="S80"/>
      <c r="T80"/>
    </row>
    <row r="81" spans="2:20" ht="13.5" customHeight="1" x14ac:dyDescent="0.3">
      <c r="B81" s="14" t="s">
        <v>23</v>
      </c>
      <c r="C81" s="20">
        <v>1</v>
      </c>
      <c r="D81" s="16" t="s">
        <v>588</v>
      </c>
      <c r="E81" s="14">
        <v>2015</v>
      </c>
      <c r="F81" s="14" t="s">
        <v>119</v>
      </c>
      <c r="G81" s="14" t="s">
        <v>28</v>
      </c>
      <c r="H81" s="14" t="s">
        <v>589</v>
      </c>
      <c r="I81" s="17" t="s">
        <v>589</v>
      </c>
      <c r="J81" s="18">
        <v>29</v>
      </c>
      <c r="K81" s="19" t="s">
        <v>24</v>
      </c>
      <c r="L81" s="25" t="s">
        <v>640</v>
      </c>
      <c r="M81" s="16" t="s">
        <v>632</v>
      </c>
      <c r="N81" s="15">
        <v>1214</v>
      </c>
      <c r="O81" s="28"/>
      <c r="S81"/>
      <c r="T81"/>
    </row>
    <row r="82" spans="2:20" ht="13.5" customHeight="1" x14ac:dyDescent="0.3">
      <c r="B82" s="14" t="s">
        <v>23</v>
      </c>
      <c r="C82" s="20">
        <v>1</v>
      </c>
      <c r="D82" s="16" t="s">
        <v>673</v>
      </c>
      <c r="E82" s="14">
        <v>2022</v>
      </c>
      <c r="F82" s="14" t="s">
        <v>119</v>
      </c>
      <c r="G82" s="14" t="s">
        <v>674</v>
      </c>
      <c r="H82" s="14" t="s">
        <v>675</v>
      </c>
      <c r="I82" s="17" t="s">
        <v>675</v>
      </c>
      <c r="J82" s="18">
        <v>48</v>
      </c>
      <c r="K82" s="19" t="s">
        <v>24</v>
      </c>
      <c r="L82" s="25" t="s">
        <v>646</v>
      </c>
      <c r="M82" s="16" t="s">
        <v>918</v>
      </c>
      <c r="N82" s="15">
        <v>2312</v>
      </c>
      <c r="O82" s="28"/>
      <c r="S82"/>
      <c r="T82"/>
    </row>
    <row r="83" spans="2:20" ht="13.5" customHeight="1" x14ac:dyDescent="0.3">
      <c r="B83" s="14" t="s">
        <v>23</v>
      </c>
      <c r="C83" s="20">
        <v>1</v>
      </c>
      <c r="D83" s="16" t="s">
        <v>590</v>
      </c>
      <c r="E83" s="14">
        <v>2003</v>
      </c>
      <c r="F83" s="14" t="s">
        <v>119</v>
      </c>
      <c r="G83" s="14" t="s">
        <v>122</v>
      </c>
      <c r="H83" s="14" t="s">
        <v>390</v>
      </c>
      <c r="I83" s="17" t="s">
        <v>390</v>
      </c>
      <c r="J83" s="18">
        <v>19</v>
      </c>
      <c r="K83" s="19" t="s">
        <v>24</v>
      </c>
      <c r="L83" s="25" t="s">
        <v>640</v>
      </c>
      <c r="M83" s="16" t="s">
        <v>633</v>
      </c>
      <c r="N83" s="15">
        <v>1236</v>
      </c>
      <c r="O83" s="28"/>
      <c r="S83"/>
      <c r="T83"/>
    </row>
    <row r="84" spans="2:20" ht="13.5" customHeight="1" x14ac:dyDescent="0.3">
      <c r="B84" s="14" t="s">
        <v>23</v>
      </c>
      <c r="C84" s="20">
        <v>1</v>
      </c>
      <c r="D84" s="16" t="s">
        <v>676</v>
      </c>
      <c r="E84" s="14">
        <v>2006</v>
      </c>
      <c r="F84" s="14" t="s">
        <v>119</v>
      </c>
      <c r="G84" s="14" t="s">
        <v>28</v>
      </c>
      <c r="H84" s="14" t="s">
        <v>664</v>
      </c>
      <c r="I84" s="17" t="s">
        <v>664</v>
      </c>
      <c r="J84" s="18">
        <v>19</v>
      </c>
      <c r="K84" s="19" t="s">
        <v>24</v>
      </c>
      <c r="L84" s="25" t="s">
        <v>646</v>
      </c>
      <c r="M84" s="16" t="s">
        <v>919</v>
      </c>
      <c r="N84" s="15">
        <v>753</v>
      </c>
      <c r="O84" s="28"/>
      <c r="S84"/>
      <c r="T84"/>
    </row>
    <row r="85" spans="2:20" ht="13.5" customHeight="1" x14ac:dyDescent="0.3">
      <c r="B85" s="14" t="s">
        <v>23</v>
      </c>
      <c r="C85" s="20">
        <v>1</v>
      </c>
      <c r="D85" s="16" t="s">
        <v>677</v>
      </c>
      <c r="E85" s="14">
        <v>1998</v>
      </c>
      <c r="F85" s="14" t="s">
        <v>119</v>
      </c>
      <c r="G85" s="14" t="s">
        <v>122</v>
      </c>
      <c r="H85" s="14" t="s">
        <v>390</v>
      </c>
      <c r="I85" s="17" t="s">
        <v>390</v>
      </c>
      <c r="J85" s="18">
        <v>17</v>
      </c>
      <c r="K85" s="19" t="s">
        <v>24</v>
      </c>
      <c r="L85" s="25" t="s">
        <v>640</v>
      </c>
      <c r="M85" s="16">
        <v>35</v>
      </c>
      <c r="N85" s="15">
        <v>645</v>
      </c>
      <c r="O85" s="28"/>
      <c r="S85"/>
      <c r="T85"/>
    </row>
    <row r="86" spans="2:20" ht="13.5" customHeight="1" x14ac:dyDescent="0.3">
      <c r="B86" s="14" t="s">
        <v>23</v>
      </c>
      <c r="C86" s="20">
        <v>1</v>
      </c>
      <c r="D86" s="16" t="s">
        <v>123</v>
      </c>
      <c r="E86" s="14">
        <v>2022</v>
      </c>
      <c r="F86" s="14" t="s">
        <v>119</v>
      </c>
      <c r="G86" s="14" t="s">
        <v>120</v>
      </c>
      <c r="H86" s="14" t="s">
        <v>121</v>
      </c>
      <c r="I86" s="17" t="s">
        <v>121</v>
      </c>
      <c r="J86" s="18">
        <v>39</v>
      </c>
      <c r="K86" s="19" t="s">
        <v>24</v>
      </c>
      <c r="L86" s="25" t="s">
        <v>640</v>
      </c>
      <c r="M86" s="16" t="s">
        <v>134</v>
      </c>
      <c r="N86" s="15">
        <v>1828</v>
      </c>
      <c r="O86" s="28"/>
      <c r="S86"/>
      <c r="T86"/>
    </row>
    <row r="87" spans="2:20" ht="13.5" customHeight="1" x14ac:dyDescent="0.3">
      <c r="B87" s="14" t="s">
        <v>23</v>
      </c>
      <c r="C87" s="20">
        <v>1</v>
      </c>
      <c r="D87" s="16" t="s">
        <v>678</v>
      </c>
      <c r="E87" s="14">
        <v>2022</v>
      </c>
      <c r="F87" s="14" t="s">
        <v>119</v>
      </c>
      <c r="G87" s="14" t="s">
        <v>120</v>
      </c>
      <c r="H87" s="14" t="s">
        <v>115</v>
      </c>
      <c r="I87" s="17" t="s">
        <v>115</v>
      </c>
      <c r="J87" s="18">
        <v>24</v>
      </c>
      <c r="K87" s="19" t="s">
        <v>24</v>
      </c>
      <c r="L87" s="25" t="s">
        <v>640</v>
      </c>
      <c r="M87" s="16">
        <v>35</v>
      </c>
      <c r="N87" s="15">
        <v>1059</v>
      </c>
      <c r="O87" s="28"/>
      <c r="S87"/>
      <c r="T87"/>
    </row>
    <row r="88" spans="2:20" ht="13.5" customHeight="1" x14ac:dyDescent="0.3">
      <c r="B88" s="14" t="s">
        <v>23</v>
      </c>
      <c r="C88" s="20">
        <v>1</v>
      </c>
      <c r="D88" s="16" t="s">
        <v>679</v>
      </c>
      <c r="E88" s="14">
        <v>2015</v>
      </c>
      <c r="F88" s="14" t="s">
        <v>119</v>
      </c>
      <c r="G88" s="14" t="s">
        <v>28</v>
      </c>
      <c r="H88" s="14" t="s">
        <v>680</v>
      </c>
      <c r="I88" s="17" t="s">
        <v>680</v>
      </c>
      <c r="J88" s="18">
        <v>22</v>
      </c>
      <c r="K88" s="19" t="s">
        <v>24</v>
      </c>
      <c r="L88" s="25" t="s">
        <v>640</v>
      </c>
      <c r="M88" s="16" t="s">
        <v>920</v>
      </c>
      <c r="N88" s="15">
        <v>804</v>
      </c>
      <c r="O88" s="28"/>
      <c r="S88"/>
      <c r="T88"/>
    </row>
    <row r="89" spans="2:20" ht="13.5" customHeight="1" x14ac:dyDescent="0.3">
      <c r="B89" s="14" t="s">
        <v>23</v>
      </c>
      <c r="C89" s="20">
        <v>1</v>
      </c>
      <c r="D89" s="26" t="s">
        <v>1006</v>
      </c>
      <c r="E89" s="14" t="s">
        <v>63</v>
      </c>
      <c r="F89" s="14" t="s">
        <v>119</v>
      </c>
      <c r="G89" s="14" t="s">
        <v>120</v>
      </c>
      <c r="H89" s="14" t="s">
        <v>115</v>
      </c>
      <c r="I89" s="17" t="s">
        <v>115</v>
      </c>
      <c r="J89" s="18">
        <v>14</v>
      </c>
      <c r="K89" s="19" t="s">
        <v>24</v>
      </c>
      <c r="L89" s="25" t="s">
        <v>640</v>
      </c>
      <c r="M89" s="16">
        <v>35</v>
      </c>
      <c r="N89" s="15">
        <v>688</v>
      </c>
      <c r="O89" s="28"/>
      <c r="S89"/>
      <c r="T89"/>
    </row>
    <row r="90" spans="2:20" ht="13.5" customHeight="1" x14ac:dyDescent="0.3">
      <c r="B90" s="14" t="s">
        <v>23</v>
      </c>
      <c r="C90" s="20">
        <v>1</v>
      </c>
      <c r="D90" s="26" t="s">
        <v>393</v>
      </c>
      <c r="E90" s="14">
        <v>2012</v>
      </c>
      <c r="F90" s="14" t="s">
        <v>119</v>
      </c>
      <c r="G90" s="14" t="s">
        <v>122</v>
      </c>
      <c r="H90" s="14" t="s">
        <v>390</v>
      </c>
      <c r="I90" s="17" t="s">
        <v>390</v>
      </c>
      <c r="J90" s="18">
        <v>26</v>
      </c>
      <c r="K90" s="19" t="s">
        <v>24</v>
      </c>
      <c r="L90" s="25" t="s">
        <v>640</v>
      </c>
      <c r="M90" s="16" t="s">
        <v>485</v>
      </c>
      <c r="N90" s="15">
        <v>957</v>
      </c>
      <c r="O90" s="28"/>
      <c r="S90"/>
      <c r="T90"/>
    </row>
    <row r="91" spans="2:20" ht="13.5" customHeight="1" x14ac:dyDescent="0.3">
      <c r="B91" s="14" t="s">
        <v>23</v>
      </c>
      <c r="C91" s="20">
        <v>1</v>
      </c>
      <c r="D91" s="26" t="s">
        <v>681</v>
      </c>
      <c r="E91" s="14">
        <v>2021</v>
      </c>
      <c r="F91" s="14" t="s">
        <v>119</v>
      </c>
      <c r="G91" s="14" t="s">
        <v>122</v>
      </c>
      <c r="H91" s="14" t="s">
        <v>318</v>
      </c>
      <c r="I91" s="17" t="s">
        <v>318</v>
      </c>
      <c r="J91" s="18">
        <v>36</v>
      </c>
      <c r="K91" s="19" t="s">
        <v>24</v>
      </c>
      <c r="L91" s="25" t="s">
        <v>646</v>
      </c>
      <c r="M91" s="16" t="s">
        <v>921</v>
      </c>
      <c r="N91" s="15">
        <v>980</v>
      </c>
      <c r="O91" s="28"/>
      <c r="S91"/>
      <c r="T91"/>
    </row>
    <row r="92" spans="2:20" ht="13.5" customHeight="1" x14ac:dyDescent="0.3">
      <c r="B92" s="14" t="s">
        <v>23</v>
      </c>
      <c r="C92" s="20">
        <v>1</v>
      </c>
      <c r="D92" s="26" t="s">
        <v>682</v>
      </c>
      <c r="E92" s="14">
        <v>2008</v>
      </c>
      <c r="F92" s="14" t="s">
        <v>119</v>
      </c>
      <c r="G92" s="14" t="s">
        <v>122</v>
      </c>
      <c r="H92" s="14" t="s">
        <v>683</v>
      </c>
      <c r="I92" s="17" t="s">
        <v>683</v>
      </c>
      <c r="J92" s="18">
        <v>26</v>
      </c>
      <c r="K92" s="19" t="s">
        <v>24</v>
      </c>
      <c r="L92" s="25" t="s">
        <v>640</v>
      </c>
      <c r="M92" s="16" t="s">
        <v>922</v>
      </c>
      <c r="N92" s="15">
        <v>788</v>
      </c>
      <c r="O92" s="28"/>
      <c r="S92"/>
      <c r="T92"/>
    </row>
    <row r="93" spans="2:20" ht="13.5" customHeight="1" x14ac:dyDescent="0.3">
      <c r="B93" s="14" t="s">
        <v>23</v>
      </c>
      <c r="C93" s="20">
        <v>1</v>
      </c>
      <c r="D93" s="26" t="s">
        <v>684</v>
      </c>
      <c r="E93" s="14">
        <v>2018</v>
      </c>
      <c r="F93" s="14" t="s">
        <v>119</v>
      </c>
      <c r="G93" s="14" t="s">
        <v>122</v>
      </c>
      <c r="H93" s="14" t="s">
        <v>685</v>
      </c>
      <c r="I93" s="17" t="s">
        <v>685</v>
      </c>
      <c r="J93" s="18">
        <v>44</v>
      </c>
      <c r="K93" s="19" t="s">
        <v>24</v>
      </c>
      <c r="L93" s="25" t="s">
        <v>640</v>
      </c>
      <c r="M93" s="16" t="s">
        <v>923</v>
      </c>
      <c r="N93" s="15">
        <v>1401</v>
      </c>
      <c r="O93" s="28"/>
      <c r="S93"/>
      <c r="T93"/>
    </row>
    <row r="94" spans="2:20" ht="13.5" customHeight="1" x14ac:dyDescent="0.3">
      <c r="B94" s="14" t="s">
        <v>23</v>
      </c>
      <c r="C94" s="20">
        <v>1</v>
      </c>
      <c r="D94" s="26" t="s">
        <v>686</v>
      </c>
      <c r="E94" s="14">
        <v>2020</v>
      </c>
      <c r="F94" s="14" t="s">
        <v>119</v>
      </c>
      <c r="G94" s="14" t="s">
        <v>674</v>
      </c>
      <c r="H94" s="14" t="s">
        <v>687</v>
      </c>
      <c r="I94" s="17" t="s">
        <v>687</v>
      </c>
      <c r="J94" s="18">
        <v>36</v>
      </c>
      <c r="K94" s="19" t="s">
        <v>24</v>
      </c>
      <c r="L94" s="25" t="s">
        <v>646</v>
      </c>
      <c r="M94" s="16" t="s">
        <v>207</v>
      </c>
      <c r="N94" s="15">
        <v>1503</v>
      </c>
      <c r="O94" s="28" t="s">
        <v>29</v>
      </c>
      <c r="S94"/>
      <c r="T94"/>
    </row>
    <row r="95" spans="2:20" ht="13.5" customHeight="1" x14ac:dyDescent="0.3">
      <c r="B95" s="14" t="s">
        <v>23</v>
      </c>
      <c r="C95" s="20">
        <v>1</v>
      </c>
      <c r="D95" s="27" t="s">
        <v>394</v>
      </c>
      <c r="E95" s="14">
        <v>2020</v>
      </c>
      <c r="F95" s="14" t="s">
        <v>119</v>
      </c>
      <c r="G95" s="14" t="s">
        <v>122</v>
      </c>
      <c r="H95" s="14" t="s">
        <v>395</v>
      </c>
      <c r="I95" s="17" t="s">
        <v>395</v>
      </c>
      <c r="J95" s="18">
        <v>26</v>
      </c>
      <c r="K95" s="19" t="s">
        <v>24</v>
      </c>
      <c r="L95" s="25" t="s">
        <v>640</v>
      </c>
      <c r="M95" s="16" t="s">
        <v>486</v>
      </c>
      <c r="N95" s="15">
        <v>776</v>
      </c>
      <c r="O95" s="28" t="s">
        <v>29</v>
      </c>
      <c r="S95"/>
      <c r="T95"/>
    </row>
    <row r="96" spans="2:20" ht="13.5" customHeight="1" x14ac:dyDescent="0.3">
      <c r="B96" s="14" t="s">
        <v>23</v>
      </c>
      <c r="C96" s="20">
        <v>1</v>
      </c>
      <c r="D96" s="27" t="s">
        <v>688</v>
      </c>
      <c r="E96" s="14">
        <v>1999</v>
      </c>
      <c r="F96" s="14" t="s">
        <v>119</v>
      </c>
      <c r="G96" s="14" t="s">
        <v>674</v>
      </c>
      <c r="H96" s="14" t="s">
        <v>689</v>
      </c>
      <c r="I96" s="17" t="s">
        <v>689</v>
      </c>
      <c r="J96" s="18">
        <v>30</v>
      </c>
      <c r="K96" s="19" t="s">
        <v>24</v>
      </c>
      <c r="L96" s="25" t="s">
        <v>646</v>
      </c>
      <c r="M96" s="16" t="s">
        <v>924</v>
      </c>
      <c r="N96" s="15">
        <v>1146</v>
      </c>
      <c r="O96" s="28" t="s">
        <v>29</v>
      </c>
      <c r="S96"/>
      <c r="T96"/>
    </row>
    <row r="97" spans="2:20" ht="13.5" customHeight="1" x14ac:dyDescent="0.3">
      <c r="B97" s="14" t="s">
        <v>23</v>
      </c>
      <c r="C97" s="20">
        <v>1</v>
      </c>
      <c r="D97" s="22" t="s">
        <v>690</v>
      </c>
      <c r="E97" s="14">
        <v>2003</v>
      </c>
      <c r="F97" s="14" t="s">
        <v>119</v>
      </c>
      <c r="G97" s="14" t="s">
        <v>122</v>
      </c>
      <c r="H97" s="14" t="s">
        <v>685</v>
      </c>
      <c r="I97" s="17" t="s">
        <v>685</v>
      </c>
      <c r="J97" s="18">
        <v>21</v>
      </c>
      <c r="K97" s="19" t="s">
        <v>24</v>
      </c>
      <c r="L97" s="25" t="s">
        <v>640</v>
      </c>
      <c r="M97" s="16" t="s">
        <v>624</v>
      </c>
      <c r="N97" s="15">
        <v>954</v>
      </c>
      <c r="O97" s="28"/>
      <c r="S97"/>
      <c r="T97"/>
    </row>
    <row r="98" spans="2:20" ht="13.5" customHeight="1" x14ac:dyDescent="0.3">
      <c r="B98" s="14" t="s">
        <v>23</v>
      </c>
      <c r="C98" s="20">
        <v>1</v>
      </c>
      <c r="D98" s="22" t="s">
        <v>691</v>
      </c>
      <c r="E98" s="14">
        <v>1993</v>
      </c>
      <c r="F98" s="14" t="s">
        <v>119</v>
      </c>
      <c r="G98" s="14" t="s">
        <v>122</v>
      </c>
      <c r="H98" s="14" t="s">
        <v>692</v>
      </c>
      <c r="I98" s="17" t="s">
        <v>692</v>
      </c>
      <c r="J98" s="18">
        <v>60</v>
      </c>
      <c r="K98" s="19" t="s">
        <v>24</v>
      </c>
      <c r="L98" s="25" t="s">
        <v>640</v>
      </c>
      <c r="M98" s="16" t="s">
        <v>925</v>
      </c>
      <c r="N98" s="15">
        <v>1704</v>
      </c>
      <c r="O98" s="28"/>
      <c r="S98"/>
      <c r="T98"/>
    </row>
    <row r="99" spans="2:20" ht="13.5" customHeight="1" x14ac:dyDescent="0.3">
      <c r="B99" s="14" t="s">
        <v>23</v>
      </c>
      <c r="C99" s="20">
        <v>1</v>
      </c>
      <c r="D99" s="22" t="s">
        <v>591</v>
      </c>
      <c r="E99" s="14">
        <v>2023</v>
      </c>
      <c r="F99" s="14" t="s">
        <v>119</v>
      </c>
      <c r="G99" s="14" t="s">
        <v>120</v>
      </c>
      <c r="H99" s="14" t="s">
        <v>404</v>
      </c>
      <c r="I99" s="17" t="s">
        <v>592</v>
      </c>
      <c r="J99" s="18">
        <v>8</v>
      </c>
      <c r="K99" s="19" t="s">
        <v>24</v>
      </c>
      <c r="L99" s="25" t="s">
        <v>640</v>
      </c>
      <c r="M99" s="16" t="s">
        <v>634</v>
      </c>
      <c r="N99" s="15">
        <v>392</v>
      </c>
      <c r="O99" s="28" t="s">
        <v>29</v>
      </c>
      <c r="S99"/>
      <c r="T99"/>
    </row>
    <row r="100" spans="2:20" ht="13.5" customHeight="1" x14ac:dyDescent="0.3">
      <c r="B100" s="14" t="s">
        <v>23</v>
      </c>
      <c r="C100" s="20">
        <v>1</v>
      </c>
      <c r="D100" s="22" t="s">
        <v>317</v>
      </c>
      <c r="E100" s="14">
        <v>2023</v>
      </c>
      <c r="F100" s="14" t="s">
        <v>119</v>
      </c>
      <c r="G100" s="14" t="s">
        <v>122</v>
      </c>
      <c r="H100" s="14" t="s">
        <v>318</v>
      </c>
      <c r="I100" s="17" t="s">
        <v>318</v>
      </c>
      <c r="J100" s="18">
        <v>10</v>
      </c>
      <c r="K100" s="19" t="s">
        <v>24</v>
      </c>
      <c r="L100" s="25" t="s">
        <v>640</v>
      </c>
      <c r="M100" s="16" t="s">
        <v>340</v>
      </c>
      <c r="N100" s="15">
        <v>430</v>
      </c>
      <c r="O100" s="28" t="s">
        <v>29</v>
      </c>
      <c r="S100"/>
      <c r="T100"/>
    </row>
    <row r="101" spans="2:20" ht="13.5" customHeight="1" x14ac:dyDescent="0.3">
      <c r="B101" s="14" t="s">
        <v>23</v>
      </c>
      <c r="C101" s="20">
        <v>1</v>
      </c>
      <c r="D101" s="22" t="s">
        <v>693</v>
      </c>
      <c r="E101" s="14">
        <v>2005</v>
      </c>
      <c r="F101" s="14" t="s">
        <v>119</v>
      </c>
      <c r="G101" s="14" t="s">
        <v>120</v>
      </c>
      <c r="H101" s="14" t="s">
        <v>694</v>
      </c>
      <c r="I101" s="17" t="s">
        <v>694</v>
      </c>
      <c r="J101" s="18">
        <v>12</v>
      </c>
      <c r="K101" s="19" t="s">
        <v>24</v>
      </c>
      <c r="L101" s="25" t="s">
        <v>646</v>
      </c>
      <c r="M101" s="16" t="s">
        <v>926</v>
      </c>
      <c r="N101" s="15">
        <v>405</v>
      </c>
      <c r="O101" s="28" t="s">
        <v>29</v>
      </c>
      <c r="S101"/>
      <c r="T101"/>
    </row>
    <row r="102" spans="2:20" ht="13.5" customHeight="1" x14ac:dyDescent="0.3">
      <c r="B102" s="14" t="s">
        <v>23</v>
      </c>
      <c r="C102" s="20">
        <v>1</v>
      </c>
      <c r="D102" s="22" t="s">
        <v>695</v>
      </c>
      <c r="E102" s="14">
        <v>1993</v>
      </c>
      <c r="F102" s="14" t="s">
        <v>119</v>
      </c>
      <c r="G102" s="14" t="s">
        <v>122</v>
      </c>
      <c r="H102" s="14" t="s">
        <v>318</v>
      </c>
      <c r="I102" s="17" t="s">
        <v>318</v>
      </c>
      <c r="J102" s="18">
        <v>67</v>
      </c>
      <c r="K102" s="19" t="s">
        <v>24</v>
      </c>
      <c r="L102" s="25" t="s">
        <v>640</v>
      </c>
      <c r="M102" s="16" t="s">
        <v>927</v>
      </c>
      <c r="N102" s="15">
        <v>2010</v>
      </c>
      <c r="O102" s="28" t="s">
        <v>29</v>
      </c>
      <c r="S102"/>
      <c r="T102"/>
    </row>
    <row r="103" spans="2:20" ht="13.5" customHeight="1" x14ac:dyDescent="0.3">
      <c r="B103" s="14" t="s">
        <v>23</v>
      </c>
      <c r="C103" s="20">
        <v>1</v>
      </c>
      <c r="D103" s="22" t="s">
        <v>696</v>
      </c>
      <c r="E103" s="14">
        <v>2014</v>
      </c>
      <c r="F103" s="14" t="s">
        <v>119</v>
      </c>
      <c r="G103" s="14" t="s">
        <v>120</v>
      </c>
      <c r="H103" s="14" t="s">
        <v>121</v>
      </c>
      <c r="I103" s="17" t="s">
        <v>121</v>
      </c>
      <c r="J103" s="18">
        <v>33</v>
      </c>
      <c r="K103" s="19" t="s">
        <v>24</v>
      </c>
      <c r="L103" s="25" t="s">
        <v>640</v>
      </c>
      <c r="M103" s="16">
        <v>34</v>
      </c>
      <c r="N103" s="15">
        <v>1220</v>
      </c>
      <c r="O103" s="28"/>
      <c r="S103"/>
      <c r="T103"/>
    </row>
    <row r="104" spans="2:20" ht="13.5" customHeight="1" x14ac:dyDescent="0.3">
      <c r="B104" s="14" t="s">
        <v>23</v>
      </c>
      <c r="C104" s="20">
        <v>1</v>
      </c>
      <c r="D104" s="22" t="s">
        <v>697</v>
      </c>
      <c r="E104" s="14">
        <v>2005</v>
      </c>
      <c r="F104" s="14" t="s">
        <v>119</v>
      </c>
      <c r="G104" s="14" t="s">
        <v>122</v>
      </c>
      <c r="H104" s="14" t="s">
        <v>698</v>
      </c>
      <c r="I104" s="17" t="s">
        <v>698</v>
      </c>
      <c r="J104" s="18">
        <v>20</v>
      </c>
      <c r="K104" s="19" t="s">
        <v>24</v>
      </c>
      <c r="L104" s="25" t="s">
        <v>646</v>
      </c>
      <c r="M104" s="16" t="s">
        <v>928</v>
      </c>
      <c r="N104" s="15">
        <v>708</v>
      </c>
      <c r="O104" s="28" t="s">
        <v>29</v>
      </c>
      <c r="S104"/>
      <c r="T104"/>
    </row>
    <row r="105" spans="2:20" ht="13.5" customHeight="1" x14ac:dyDescent="0.3">
      <c r="B105" s="14" t="s">
        <v>23</v>
      </c>
      <c r="C105" s="20">
        <v>1</v>
      </c>
      <c r="D105" s="22" t="s">
        <v>593</v>
      </c>
      <c r="E105" s="14">
        <v>1994</v>
      </c>
      <c r="F105" s="14" t="s">
        <v>119</v>
      </c>
      <c r="G105" s="14" t="s">
        <v>120</v>
      </c>
      <c r="H105" s="14" t="s">
        <v>594</v>
      </c>
      <c r="I105" s="17" t="s">
        <v>594</v>
      </c>
      <c r="J105" s="18">
        <v>114</v>
      </c>
      <c r="K105" s="19" t="s">
        <v>24</v>
      </c>
      <c r="L105" s="25" t="s">
        <v>640</v>
      </c>
      <c r="M105" s="16" t="s">
        <v>635</v>
      </c>
      <c r="N105" s="15">
        <v>3958</v>
      </c>
      <c r="O105" s="28" t="s">
        <v>29</v>
      </c>
      <c r="S105"/>
      <c r="T105"/>
    </row>
    <row r="106" spans="2:20" ht="13.5" customHeight="1" x14ac:dyDescent="0.3">
      <c r="B106" s="14" t="s">
        <v>23</v>
      </c>
      <c r="C106" s="20">
        <v>1</v>
      </c>
      <c r="D106" s="22" t="s">
        <v>699</v>
      </c>
      <c r="E106" s="14">
        <v>2007</v>
      </c>
      <c r="F106" s="14" t="s">
        <v>119</v>
      </c>
      <c r="G106" s="14" t="s">
        <v>120</v>
      </c>
      <c r="H106" s="14" t="s">
        <v>115</v>
      </c>
      <c r="I106" s="17" t="s">
        <v>115</v>
      </c>
      <c r="J106" s="18">
        <v>19</v>
      </c>
      <c r="K106" s="19" t="s">
        <v>24</v>
      </c>
      <c r="L106" s="25" t="s">
        <v>646</v>
      </c>
      <c r="M106" s="16" t="s">
        <v>929</v>
      </c>
      <c r="N106" s="15">
        <v>464</v>
      </c>
      <c r="O106" s="28"/>
      <c r="S106"/>
      <c r="T106"/>
    </row>
    <row r="107" spans="2:20" ht="13.5" customHeight="1" x14ac:dyDescent="0.3">
      <c r="B107" s="14" t="s">
        <v>27</v>
      </c>
      <c r="C107" s="20">
        <v>1</v>
      </c>
      <c r="D107" s="16" t="s">
        <v>700</v>
      </c>
      <c r="E107" s="14">
        <v>2021</v>
      </c>
      <c r="F107" s="14" t="s">
        <v>397</v>
      </c>
      <c r="G107" s="14" t="s">
        <v>397</v>
      </c>
      <c r="H107" s="14" t="s">
        <v>701</v>
      </c>
      <c r="I107" s="17" t="s">
        <v>701</v>
      </c>
      <c r="J107" s="18">
        <v>9</v>
      </c>
      <c r="K107" s="19" t="s">
        <v>24</v>
      </c>
      <c r="L107" s="25" t="s">
        <v>640</v>
      </c>
      <c r="M107" s="16" t="s">
        <v>70</v>
      </c>
      <c r="N107" s="15">
        <v>342</v>
      </c>
      <c r="O107" s="28"/>
      <c r="S107"/>
      <c r="T107"/>
    </row>
    <row r="108" spans="2:20" ht="13.5" customHeight="1" x14ac:dyDescent="0.3">
      <c r="B108" s="14" t="s">
        <v>23</v>
      </c>
      <c r="C108" s="20">
        <v>1</v>
      </c>
      <c r="D108" s="16" t="s">
        <v>702</v>
      </c>
      <c r="E108" s="14">
        <v>2013</v>
      </c>
      <c r="F108" s="14" t="s">
        <v>397</v>
      </c>
      <c r="G108" s="14" t="s">
        <v>397</v>
      </c>
      <c r="H108" s="14" t="s">
        <v>703</v>
      </c>
      <c r="I108" s="17" t="s">
        <v>703</v>
      </c>
      <c r="J108" s="18">
        <v>26</v>
      </c>
      <c r="K108" s="19" t="s">
        <v>24</v>
      </c>
      <c r="L108" s="25" t="s">
        <v>640</v>
      </c>
      <c r="M108" s="16" t="s">
        <v>620</v>
      </c>
      <c r="N108" s="15">
        <v>700</v>
      </c>
      <c r="O108" s="28"/>
      <c r="S108"/>
      <c r="T108"/>
    </row>
    <row r="109" spans="2:20" ht="13.5" customHeight="1" x14ac:dyDescent="0.3">
      <c r="B109" s="14" t="s">
        <v>23</v>
      </c>
      <c r="C109" s="20">
        <v>1</v>
      </c>
      <c r="D109" s="16" t="s">
        <v>704</v>
      </c>
      <c r="E109" s="14">
        <v>2010</v>
      </c>
      <c r="F109" s="14" t="s">
        <v>397</v>
      </c>
      <c r="G109" s="14" t="s">
        <v>397</v>
      </c>
      <c r="H109" s="14" t="s">
        <v>705</v>
      </c>
      <c r="I109" s="17" t="s">
        <v>705</v>
      </c>
      <c r="J109" s="18">
        <v>50</v>
      </c>
      <c r="K109" s="19" t="s">
        <v>24</v>
      </c>
      <c r="L109" s="25" t="s">
        <v>640</v>
      </c>
      <c r="M109" s="16" t="s">
        <v>930</v>
      </c>
      <c r="N109" s="15">
        <v>1200</v>
      </c>
      <c r="O109" s="28"/>
      <c r="S109"/>
      <c r="T109"/>
    </row>
    <row r="110" spans="2:20" ht="13.5" customHeight="1" x14ac:dyDescent="0.3">
      <c r="B110" s="14" t="s">
        <v>23</v>
      </c>
      <c r="C110" s="20">
        <v>1</v>
      </c>
      <c r="D110" s="16" t="s">
        <v>706</v>
      </c>
      <c r="E110" s="14">
        <v>1998</v>
      </c>
      <c r="F110" s="14" t="s">
        <v>397</v>
      </c>
      <c r="G110" s="14" t="s">
        <v>397</v>
      </c>
      <c r="H110" s="14" t="s">
        <v>707</v>
      </c>
      <c r="I110" s="17" t="s">
        <v>708</v>
      </c>
      <c r="J110" s="18">
        <v>18</v>
      </c>
      <c r="K110" s="19" t="s">
        <v>24</v>
      </c>
      <c r="L110" s="25" t="s">
        <v>640</v>
      </c>
      <c r="M110" s="16" t="s">
        <v>931</v>
      </c>
      <c r="N110" s="15">
        <v>513</v>
      </c>
      <c r="O110" s="28"/>
      <c r="S110"/>
      <c r="T110"/>
    </row>
    <row r="111" spans="2:20" ht="13.5" customHeight="1" x14ac:dyDescent="0.3">
      <c r="B111" s="14" t="s">
        <v>23</v>
      </c>
      <c r="C111" s="20">
        <v>1</v>
      </c>
      <c r="D111" s="16" t="s">
        <v>709</v>
      </c>
      <c r="E111" s="14">
        <v>2021</v>
      </c>
      <c r="F111" s="14" t="s">
        <v>397</v>
      </c>
      <c r="G111" s="14" t="s">
        <v>710</v>
      </c>
      <c r="H111" s="14" t="s">
        <v>711</v>
      </c>
      <c r="I111" s="17" t="s">
        <v>711</v>
      </c>
      <c r="J111" s="18">
        <v>15</v>
      </c>
      <c r="K111" s="19" t="s">
        <v>24</v>
      </c>
      <c r="L111" s="25" t="s">
        <v>640</v>
      </c>
      <c r="M111" s="16">
        <v>25</v>
      </c>
      <c r="N111" s="15">
        <v>508</v>
      </c>
      <c r="O111" s="28"/>
      <c r="S111"/>
      <c r="T111"/>
    </row>
    <row r="112" spans="2:20" ht="13.5" customHeight="1" x14ac:dyDescent="0.3">
      <c r="B112" s="14" t="s">
        <v>23</v>
      </c>
      <c r="C112" s="20">
        <v>1</v>
      </c>
      <c r="D112" s="16" t="s">
        <v>595</v>
      </c>
      <c r="E112" s="14">
        <v>2013</v>
      </c>
      <c r="F112" s="14" t="s">
        <v>397</v>
      </c>
      <c r="G112" s="14" t="s">
        <v>596</v>
      </c>
      <c r="H112" s="14" t="s">
        <v>596</v>
      </c>
      <c r="I112" s="17" t="s">
        <v>596</v>
      </c>
      <c r="J112" s="18">
        <v>23</v>
      </c>
      <c r="K112" s="19" t="s">
        <v>24</v>
      </c>
      <c r="L112" s="25" t="s">
        <v>640</v>
      </c>
      <c r="M112" s="16" t="s">
        <v>636</v>
      </c>
      <c r="N112" s="15">
        <v>955</v>
      </c>
      <c r="O112" s="28"/>
      <c r="S112"/>
      <c r="T112"/>
    </row>
    <row r="113" spans="2:20" ht="13.5" customHeight="1" x14ac:dyDescent="0.3">
      <c r="B113" s="14" t="s">
        <v>23</v>
      </c>
      <c r="C113" s="20">
        <v>1</v>
      </c>
      <c r="D113" s="16" t="s">
        <v>712</v>
      </c>
      <c r="E113" s="14">
        <v>2008</v>
      </c>
      <c r="F113" s="14" t="s">
        <v>397</v>
      </c>
      <c r="G113" s="14" t="s">
        <v>713</v>
      </c>
      <c r="H113" s="14" t="s">
        <v>401</v>
      </c>
      <c r="I113" s="17" t="s">
        <v>401</v>
      </c>
      <c r="J113" s="18">
        <v>21</v>
      </c>
      <c r="K113" s="19" t="s">
        <v>24</v>
      </c>
      <c r="L113" s="25" t="s">
        <v>640</v>
      </c>
      <c r="M113" s="16" t="s">
        <v>342</v>
      </c>
      <c r="N113" s="15">
        <v>852</v>
      </c>
      <c r="O113" s="28"/>
      <c r="S113"/>
      <c r="T113"/>
    </row>
    <row r="114" spans="2:20" ht="13.5" customHeight="1" x14ac:dyDescent="0.3">
      <c r="B114" s="14" t="s">
        <v>23</v>
      </c>
      <c r="C114" s="20">
        <v>1</v>
      </c>
      <c r="D114" s="16" t="s">
        <v>714</v>
      </c>
      <c r="E114" s="14">
        <v>2004</v>
      </c>
      <c r="F114" s="14" t="s">
        <v>397</v>
      </c>
      <c r="G114" s="14" t="s">
        <v>705</v>
      </c>
      <c r="H114" s="14" t="s">
        <v>715</v>
      </c>
      <c r="I114" s="17" t="s">
        <v>715</v>
      </c>
      <c r="J114" s="18">
        <v>22</v>
      </c>
      <c r="K114" s="19" t="s">
        <v>24</v>
      </c>
      <c r="L114" s="25" t="s">
        <v>640</v>
      </c>
      <c r="M114" s="16">
        <v>23</v>
      </c>
      <c r="N114" s="15">
        <v>597</v>
      </c>
      <c r="O114" s="28"/>
      <c r="S114"/>
      <c r="T114"/>
    </row>
    <row r="115" spans="2:20" ht="13.5" customHeight="1" x14ac:dyDescent="0.3">
      <c r="B115" s="14" t="s">
        <v>23</v>
      </c>
      <c r="C115" s="23">
        <v>1</v>
      </c>
      <c r="D115" s="16" t="s">
        <v>716</v>
      </c>
      <c r="E115" s="14">
        <v>2008</v>
      </c>
      <c r="F115" s="14" t="s">
        <v>397</v>
      </c>
      <c r="G115" s="14" t="s">
        <v>717</v>
      </c>
      <c r="H115" s="14" t="s">
        <v>718</v>
      </c>
      <c r="I115" s="17" t="s">
        <v>718</v>
      </c>
      <c r="J115" s="18">
        <v>43</v>
      </c>
      <c r="K115" s="19" t="s">
        <v>24</v>
      </c>
      <c r="L115" s="25" t="s">
        <v>640</v>
      </c>
      <c r="M115" s="16" t="s">
        <v>932</v>
      </c>
      <c r="N115" s="15">
        <v>895</v>
      </c>
      <c r="O115" s="28"/>
      <c r="S115"/>
      <c r="T115"/>
    </row>
    <row r="116" spans="2:20" ht="13.5" customHeight="1" x14ac:dyDescent="0.3">
      <c r="B116" s="14" t="s">
        <v>23</v>
      </c>
      <c r="C116" s="20">
        <v>1</v>
      </c>
      <c r="D116" s="16" t="s">
        <v>719</v>
      </c>
      <c r="E116" s="14" t="s">
        <v>63</v>
      </c>
      <c r="F116" s="14" t="s">
        <v>397</v>
      </c>
      <c r="G116" s="14" t="s">
        <v>397</v>
      </c>
      <c r="H116" s="14" t="s">
        <v>401</v>
      </c>
      <c r="I116" s="17" t="s">
        <v>401</v>
      </c>
      <c r="J116" s="18">
        <v>16</v>
      </c>
      <c r="K116" s="19" t="s">
        <v>24</v>
      </c>
      <c r="L116" s="25" t="s">
        <v>646</v>
      </c>
      <c r="M116" s="16" t="s">
        <v>485</v>
      </c>
      <c r="N116" s="15">
        <v>587</v>
      </c>
      <c r="O116" s="28"/>
      <c r="S116"/>
      <c r="T116"/>
    </row>
    <row r="117" spans="2:20" ht="13.5" customHeight="1" x14ac:dyDescent="0.3">
      <c r="B117" s="14" t="s">
        <v>23</v>
      </c>
      <c r="C117" s="20">
        <v>1</v>
      </c>
      <c r="D117" s="16" t="s">
        <v>720</v>
      </c>
      <c r="E117" s="14">
        <v>1992</v>
      </c>
      <c r="F117" s="14" t="s">
        <v>397</v>
      </c>
      <c r="G117" s="14" t="s">
        <v>718</v>
      </c>
      <c r="H117" s="14" t="s">
        <v>718</v>
      </c>
      <c r="I117" s="17" t="s">
        <v>718</v>
      </c>
      <c r="J117" s="18">
        <v>48</v>
      </c>
      <c r="K117" s="19" t="s">
        <v>24</v>
      </c>
      <c r="L117" s="25" t="s">
        <v>646</v>
      </c>
      <c r="M117" s="16" t="s">
        <v>933</v>
      </c>
      <c r="N117" s="15">
        <v>1240</v>
      </c>
      <c r="O117" s="28"/>
      <c r="S117"/>
      <c r="T117"/>
    </row>
    <row r="118" spans="2:20" ht="13.5" customHeight="1" x14ac:dyDescent="0.3">
      <c r="B118" s="14" t="s">
        <v>23</v>
      </c>
      <c r="C118" s="20">
        <v>1</v>
      </c>
      <c r="D118" s="16" t="s">
        <v>721</v>
      </c>
      <c r="E118" s="14">
        <v>2006</v>
      </c>
      <c r="F118" s="14" t="s">
        <v>397</v>
      </c>
      <c r="G118" s="14" t="s">
        <v>718</v>
      </c>
      <c r="H118" s="14" t="s">
        <v>718</v>
      </c>
      <c r="I118" s="17" t="s">
        <v>718</v>
      </c>
      <c r="J118" s="18">
        <v>38</v>
      </c>
      <c r="K118" s="19" t="s">
        <v>24</v>
      </c>
      <c r="L118" s="25" t="s">
        <v>646</v>
      </c>
      <c r="M118" s="16" t="s">
        <v>934</v>
      </c>
      <c r="N118" s="15">
        <v>1388</v>
      </c>
      <c r="O118" s="28"/>
      <c r="S118"/>
      <c r="T118"/>
    </row>
    <row r="119" spans="2:20" ht="13.5" customHeight="1" x14ac:dyDescent="0.3">
      <c r="B119" s="14" t="s">
        <v>23</v>
      </c>
      <c r="C119" s="20">
        <v>1</v>
      </c>
      <c r="D119" s="16" t="s">
        <v>722</v>
      </c>
      <c r="E119" s="14">
        <v>1993</v>
      </c>
      <c r="F119" s="14" t="s">
        <v>397</v>
      </c>
      <c r="G119" s="14" t="s">
        <v>397</v>
      </c>
      <c r="H119" s="14" t="s">
        <v>401</v>
      </c>
      <c r="I119" s="17" t="s">
        <v>401</v>
      </c>
      <c r="J119" s="18">
        <v>25</v>
      </c>
      <c r="K119" s="19" t="s">
        <v>24</v>
      </c>
      <c r="L119" s="25" t="s">
        <v>640</v>
      </c>
      <c r="M119" s="16">
        <v>34</v>
      </c>
      <c r="N119" s="15">
        <v>1029</v>
      </c>
      <c r="O119" s="28"/>
      <c r="S119"/>
      <c r="T119"/>
    </row>
    <row r="120" spans="2:20" ht="13.5" customHeight="1" x14ac:dyDescent="0.3">
      <c r="B120" s="14" t="s">
        <v>23</v>
      </c>
      <c r="C120" s="20">
        <v>1</v>
      </c>
      <c r="D120" s="16" t="s">
        <v>723</v>
      </c>
      <c r="E120" s="14">
        <v>1994</v>
      </c>
      <c r="F120" s="14" t="s">
        <v>397</v>
      </c>
      <c r="G120" s="14" t="s">
        <v>397</v>
      </c>
      <c r="H120" s="14" t="s">
        <v>724</v>
      </c>
      <c r="I120" s="17" t="s">
        <v>724</v>
      </c>
      <c r="J120" s="18">
        <v>18</v>
      </c>
      <c r="K120" s="19" t="s">
        <v>24</v>
      </c>
      <c r="L120" s="25" t="s">
        <v>646</v>
      </c>
      <c r="M120" s="16" t="s">
        <v>935</v>
      </c>
      <c r="N120" s="15">
        <v>656</v>
      </c>
      <c r="O120" s="28"/>
      <c r="S120"/>
      <c r="T120"/>
    </row>
    <row r="121" spans="2:20" ht="13.5" customHeight="1" x14ac:dyDescent="0.3">
      <c r="B121" s="14" t="s">
        <v>23</v>
      </c>
      <c r="C121" s="20">
        <v>1</v>
      </c>
      <c r="D121" s="16" t="s">
        <v>725</v>
      </c>
      <c r="E121" s="14">
        <v>1999</v>
      </c>
      <c r="F121" s="14" t="s">
        <v>397</v>
      </c>
      <c r="G121" s="14" t="s">
        <v>397</v>
      </c>
      <c r="H121" s="14" t="s">
        <v>707</v>
      </c>
      <c r="I121" s="17" t="s">
        <v>726</v>
      </c>
      <c r="J121" s="18">
        <v>31</v>
      </c>
      <c r="K121" s="19" t="s">
        <v>24</v>
      </c>
      <c r="L121" s="25" t="s">
        <v>640</v>
      </c>
      <c r="M121" s="16" t="s">
        <v>936</v>
      </c>
      <c r="N121" s="15">
        <v>983</v>
      </c>
      <c r="O121" s="28"/>
      <c r="S121"/>
      <c r="T121"/>
    </row>
    <row r="122" spans="2:20" ht="13.5" customHeight="1" x14ac:dyDescent="0.3">
      <c r="B122" s="14" t="s">
        <v>23</v>
      </c>
      <c r="C122" s="20">
        <v>1</v>
      </c>
      <c r="D122" s="16" t="s">
        <v>727</v>
      </c>
      <c r="E122" s="14">
        <v>2018</v>
      </c>
      <c r="F122" s="14" t="s">
        <v>397</v>
      </c>
      <c r="G122" s="14" t="s">
        <v>397</v>
      </c>
      <c r="H122" s="14" t="s">
        <v>728</v>
      </c>
      <c r="I122" s="17" t="s">
        <v>728</v>
      </c>
      <c r="J122" s="18">
        <v>51</v>
      </c>
      <c r="K122" s="19" t="s">
        <v>24</v>
      </c>
      <c r="L122" s="25" t="s">
        <v>640</v>
      </c>
      <c r="M122" s="16" t="s">
        <v>937</v>
      </c>
      <c r="N122" s="15">
        <v>1110</v>
      </c>
      <c r="O122" s="28"/>
      <c r="S122"/>
      <c r="T122"/>
    </row>
    <row r="123" spans="2:20" ht="13.5" customHeight="1" x14ac:dyDescent="0.3">
      <c r="B123" s="14" t="s">
        <v>23</v>
      </c>
      <c r="C123" s="20">
        <v>1</v>
      </c>
      <c r="D123" s="16" t="s">
        <v>729</v>
      </c>
      <c r="E123" s="14">
        <v>2022</v>
      </c>
      <c r="F123" s="14" t="s">
        <v>397</v>
      </c>
      <c r="G123" s="14" t="s">
        <v>397</v>
      </c>
      <c r="H123" s="14" t="s">
        <v>724</v>
      </c>
      <c r="I123" s="17" t="s">
        <v>724</v>
      </c>
      <c r="J123" s="18">
        <v>24</v>
      </c>
      <c r="K123" s="19" t="s">
        <v>24</v>
      </c>
      <c r="L123" s="25" t="s">
        <v>646</v>
      </c>
      <c r="M123" s="16" t="s">
        <v>938</v>
      </c>
      <c r="N123" s="15">
        <v>900</v>
      </c>
      <c r="O123" s="28"/>
      <c r="S123"/>
      <c r="T123"/>
    </row>
    <row r="124" spans="2:20" ht="13.5" customHeight="1" x14ac:dyDescent="0.3">
      <c r="B124" s="14" t="s">
        <v>23</v>
      </c>
      <c r="C124" s="20">
        <v>1</v>
      </c>
      <c r="D124" s="16" t="s">
        <v>730</v>
      </c>
      <c r="E124" s="14">
        <v>2001</v>
      </c>
      <c r="F124" s="14" t="s">
        <v>397</v>
      </c>
      <c r="G124" s="14" t="s">
        <v>397</v>
      </c>
      <c r="H124" s="14" t="s">
        <v>705</v>
      </c>
      <c r="I124" s="17" t="s">
        <v>705</v>
      </c>
      <c r="J124" s="18">
        <v>21</v>
      </c>
      <c r="K124" s="19" t="s">
        <v>24</v>
      </c>
      <c r="L124" s="25" t="s">
        <v>646</v>
      </c>
      <c r="M124" s="16" t="s">
        <v>939</v>
      </c>
      <c r="N124" s="15">
        <v>508</v>
      </c>
      <c r="O124" s="28"/>
      <c r="S124"/>
      <c r="T124"/>
    </row>
    <row r="125" spans="2:20" ht="13.5" customHeight="1" x14ac:dyDescent="0.3">
      <c r="B125" s="14" t="s">
        <v>23</v>
      </c>
      <c r="C125" s="20">
        <v>1</v>
      </c>
      <c r="D125" s="16" t="s">
        <v>731</v>
      </c>
      <c r="E125" s="14">
        <v>2011</v>
      </c>
      <c r="F125" s="14" t="s">
        <v>397</v>
      </c>
      <c r="G125" s="14" t="s">
        <v>397</v>
      </c>
      <c r="H125" s="14" t="s">
        <v>710</v>
      </c>
      <c r="I125" s="17" t="s">
        <v>710</v>
      </c>
      <c r="J125" s="18">
        <v>16</v>
      </c>
      <c r="K125" s="19" t="s">
        <v>24</v>
      </c>
      <c r="L125" s="25" t="s">
        <v>646</v>
      </c>
      <c r="M125" s="16" t="s">
        <v>616</v>
      </c>
      <c r="N125" s="15">
        <v>538</v>
      </c>
      <c r="O125" s="28"/>
      <c r="S125"/>
      <c r="T125"/>
    </row>
    <row r="126" spans="2:20" ht="13.5" customHeight="1" x14ac:dyDescent="0.3">
      <c r="B126" s="14" t="s">
        <v>23</v>
      </c>
      <c r="C126" s="20">
        <v>1</v>
      </c>
      <c r="D126" s="16" t="s">
        <v>732</v>
      </c>
      <c r="E126" s="14">
        <v>2022</v>
      </c>
      <c r="F126" s="14" t="s">
        <v>397</v>
      </c>
      <c r="G126" s="14" t="s">
        <v>397</v>
      </c>
      <c r="H126" s="14" t="s">
        <v>718</v>
      </c>
      <c r="I126" s="17" t="s">
        <v>718</v>
      </c>
      <c r="J126" s="18">
        <v>36</v>
      </c>
      <c r="K126" s="19" t="s">
        <v>24</v>
      </c>
      <c r="L126" s="25" t="s">
        <v>646</v>
      </c>
      <c r="M126" s="16" t="s">
        <v>940</v>
      </c>
      <c r="N126" s="15">
        <v>1328</v>
      </c>
      <c r="O126" s="28"/>
      <c r="S126"/>
      <c r="T126"/>
    </row>
    <row r="127" spans="2:20" ht="13.5" customHeight="1" x14ac:dyDescent="0.3">
      <c r="B127" s="14" t="s">
        <v>23</v>
      </c>
      <c r="C127" s="20">
        <v>1</v>
      </c>
      <c r="D127" s="16" t="s">
        <v>733</v>
      </c>
      <c r="E127" s="14">
        <v>2023</v>
      </c>
      <c r="F127" s="14" t="s">
        <v>397</v>
      </c>
      <c r="G127" s="14" t="s">
        <v>397</v>
      </c>
      <c r="H127" s="14" t="s">
        <v>734</v>
      </c>
      <c r="I127" s="17" t="s">
        <v>734</v>
      </c>
      <c r="J127" s="18">
        <v>12</v>
      </c>
      <c r="K127" s="19" t="s">
        <v>24</v>
      </c>
      <c r="L127" s="25" t="s">
        <v>646</v>
      </c>
      <c r="M127" s="16" t="s">
        <v>941</v>
      </c>
      <c r="N127" s="15">
        <v>465</v>
      </c>
      <c r="O127" s="28"/>
      <c r="S127"/>
      <c r="T127"/>
    </row>
    <row r="128" spans="2:20" ht="13.5" customHeight="1" x14ac:dyDescent="0.3">
      <c r="B128" s="14" t="s">
        <v>23</v>
      </c>
      <c r="C128" s="20">
        <v>1</v>
      </c>
      <c r="D128" s="26" t="s">
        <v>735</v>
      </c>
      <c r="E128" s="14" t="s">
        <v>63</v>
      </c>
      <c r="F128" s="14" t="s">
        <v>397</v>
      </c>
      <c r="G128" s="14" t="s">
        <v>397</v>
      </c>
      <c r="H128" s="14" t="s">
        <v>718</v>
      </c>
      <c r="I128" s="17" t="s">
        <v>718</v>
      </c>
      <c r="J128" s="18">
        <v>10</v>
      </c>
      <c r="K128" s="19" t="s">
        <v>24</v>
      </c>
      <c r="L128" s="25" t="s">
        <v>646</v>
      </c>
      <c r="M128" s="16" t="s">
        <v>305</v>
      </c>
      <c r="N128" s="15">
        <v>322</v>
      </c>
      <c r="O128" s="28"/>
      <c r="S128"/>
      <c r="T128"/>
    </row>
    <row r="129" spans="2:20" ht="13.5" customHeight="1" x14ac:dyDescent="0.3">
      <c r="B129" s="14" t="s">
        <v>23</v>
      </c>
      <c r="C129" s="20">
        <v>1</v>
      </c>
      <c r="D129" s="26" t="s">
        <v>736</v>
      </c>
      <c r="E129" s="14">
        <v>2007</v>
      </c>
      <c r="F129" s="14" t="s">
        <v>397</v>
      </c>
      <c r="G129" s="14" t="s">
        <v>397</v>
      </c>
      <c r="H129" s="14" t="s">
        <v>705</v>
      </c>
      <c r="I129" s="17" t="s">
        <v>705</v>
      </c>
      <c r="J129" s="18">
        <v>14</v>
      </c>
      <c r="K129" s="19" t="s">
        <v>24</v>
      </c>
      <c r="L129" s="25" t="s">
        <v>640</v>
      </c>
      <c r="M129" s="16" t="s">
        <v>942</v>
      </c>
      <c r="N129" s="15">
        <v>338</v>
      </c>
      <c r="O129" s="28"/>
      <c r="S129"/>
      <c r="T129"/>
    </row>
    <row r="130" spans="2:20" ht="13.5" customHeight="1" x14ac:dyDescent="0.3">
      <c r="B130" s="14" t="s">
        <v>23</v>
      </c>
      <c r="C130" s="20">
        <v>1</v>
      </c>
      <c r="D130" s="26" t="s">
        <v>737</v>
      </c>
      <c r="E130" s="14">
        <v>2012</v>
      </c>
      <c r="F130" s="14" t="s">
        <v>397</v>
      </c>
      <c r="G130" s="14" t="s">
        <v>397</v>
      </c>
      <c r="H130" s="14" t="s">
        <v>738</v>
      </c>
      <c r="I130" s="17" t="s">
        <v>738</v>
      </c>
      <c r="J130" s="18">
        <v>29</v>
      </c>
      <c r="K130" s="19" t="s">
        <v>24</v>
      </c>
      <c r="L130" s="25" t="s">
        <v>646</v>
      </c>
      <c r="M130" s="16" t="s">
        <v>943</v>
      </c>
      <c r="N130" s="15">
        <v>1005</v>
      </c>
      <c r="O130" s="28"/>
      <c r="S130"/>
      <c r="T130"/>
    </row>
    <row r="131" spans="2:20" ht="13.5" customHeight="1" x14ac:dyDescent="0.3">
      <c r="B131" s="14" t="s">
        <v>23</v>
      </c>
      <c r="C131" s="20">
        <v>1</v>
      </c>
      <c r="D131" s="26" t="s">
        <v>739</v>
      </c>
      <c r="E131" s="14">
        <v>2017</v>
      </c>
      <c r="F131" s="14" t="s">
        <v>397</v>
      </c>
      <c r="G131" s="14" t="s">
        <v>397</v>
      </c>
      <c r="H131" s="14" t="s">
        <v>738</v>
      </c>
      <c r="I131" s="17" t="s">
        <v>738</v>
      </c>
      <c r="J131" s="18">
        <v>15</v>
      </c>
      <c r="K131" s="19" t="s">
        <v>24</v>
      </c>
      <c r="L131" s="25" t="s">
        <v>640</v>
      </c>
      <c r="M131" s="16" t="s">
        <v>944</v>
      </c>
      <c r="N131" s="15">
        <v>445</v>
      </c>
      <c r="O131" s="28"/>
      <c r="S131"/>
      <c r="T131"/>
    </row>
    <row r="132" spans="2:20" ht="13.5" customHeight="1" x14ac:dyDescent="0.3">
      <c r="B132" s="14" t="s">
        <v>23</v>
      </c>
      <c r="C132" s="20">
        <v>1</v>
      </c>
      <c r="D132" s="26" t="s">
        <v>740</v>
      </c>
      <c r="E132" s="14">
        <v>2005</v>
      </c>
      <c r="F132" s="14" t="s">
        <v>397</v>
      </c>
      <c r="G132" s="14" t="s">
        <v>397</v>
      </c>
      <c r="H132" s="14" t="s">
        <v>741</v>
      </c>
      <c r="I132" s="17" t="s">
        <v>738</v>
      </c>
      <c r="J132" s="18">
        <v>26</v>
      </c>
      <c r="K132" s="19" t="s">
        <v>24</v>
      </c>
      <c r="L132" s="25" t="s">
        <v>646</v>
      </c>
      <c r="M132" s="16" t="s">
        <v>625</v>
      </c>
      <c r="N132" s="15">
        <v>677</v>
      </c>
      <c r="O132" s="28"/>
      <c r="S132"/>
      <c r="T132"/>
    </row>
    <row r="133" spans="2:20" ht="13.5" customHeight="1" x14ac:dyDescent="0.3">
      <c r="B133" s="14" t="s">
        <v>23</v>
      </c>
      <c r="C133" s="20">
        <v>1</v>
      </c>
      <c r="D133" s="26" t="s">
        <v>742</v>
      </c>
      <c r="E133" s="14">
        <v>2001</v>
      </c>
      <c r="F133" s="14" t="s">
        <v>397</v>
      </c>
      <c r="G133" s="14" t="s">
        <v>397</v>
      </c>
      <c r="H133" s="14" t="s">
        <v>743</v>
      </c>
      <c r="I133" s="17" t="s">
        <v>743</v>
      </c>
      <c r="J133" s="18">
        <v>28</v>
      </c>
      <c r="K133" s="19" t="s">
        <v>24</v>
      </c>
      <c r="L133" s="25" t="s">
        <v>646</v>
      </c>
      <c r="M133" s="16" t="s">
        <v>945</v>
      </c>
      <c r="N133" s="15">
        <v>784</v>
      </c>
      <c r="O133" s="28"/>
      <c r="S133"/>
      <c r="T133"/>
    </row>
    <row r="134" spans="2:20" ht="13.5" customHeight="1" x14ac:dyDescent="0.3">
      <c r="B134" s="14" t="s">
        <v>23</v>
      </c>
      <c r="C134" s="20">
        <v>1</v>
      </c>
      <c r="D134" s="26" t="s">
        <v>396</v>
      </c>
      <c r="E134" s="14">
        <v>2021</v>
      </c>
      <c r="F134" s="14" t="s">
        <v>397</v>
      </c>
      <c r="G134" s="14" t="s">
        <v>397</v>
      </c>
      <c r="H134" s="14" t="s">
        <v>398</v>
      </c>
      <c r="I134" s="17" t="s">
        <v>399</v>
      </c>
      <c r="J134" s="18">
        <v>19</v>
      </c>
      <c r="K134" s="19" t="s">
        <v>24</v>
      </c>
      <c r="L134" s="25" t="s">
        <v>640</v>
      </c>
      <c r="M134" s="16" t="s">
        <v>487</v>
      </c>
      <c r="N134" s="15">
        <v>866</v>
      </c>
      <c r="O134" s="28"/>
      <c r="S134"/>
      <c r="T134"/>
    </row>
    <row r="135" spans="2:20" ht="13.5" customHeight="1" x14ac:dyDescent="0.3">
      <c r="B135" s="14" t="s">
        <v>23</v>
      </c>
      <c r="C135" s="20">
        <v>1</v>
      </c>
      <c r="D135" s="26" t="s">
        <v>744</v>
      </c>
      <c r="E135" s="14">
        <v>2018</v>
      </c>
      <c r="F135" s="14" t="s">
        <v>397</v>
      </c>
      <c r="G135" s="14" t="s">
        <v>397</v>
      </c>
      <c r="H135" s="14" t="s">
        <v>745</v>
      </c>
      <c r="I135" s="17" t="s">
        <v>745</v>
      </c>
      <c r="J135" s="18">
        <v>30</v>
      </c>
      <c r="K135" s="19" t="s">
        <v>24</v>
      </c>
      <c r="L135" s="25" t="s">
        <v>640</v>
      </c>
      <c r="M135" s="16" t="s">
        <v>946</v>
      </c>
      <c r="N135" s="15">
        <v>1015</v>
      </c>
      <c r="O135" s="28"/>
      <c r="S135"/>
      <c r="T135"/>
    </row>
    <row r="136" spans="2:20" ht="13.5" customHeight="1" x14ac:dyDescent="0.3">
      <c r="B136" s="14" t="s">
        <v>23</v>
      </c>
      <c r="C136" s="20">
        <v>1</v>
      </c>
      <c r="D136" s="26" t="s">
        <v>746</v>
      </c>
      <c r="E136" s="14">
        <v>2015</v>
      </c>
      <c r="F136" s="14" t="s">
        <v>397</v>
      </c>
      <c r="G136" s="14" t="s">
        <v>397</v>
      </c>
      <c r="H136" s="14" t="s">
        <v>710</v>
      </c>
      <c r="I136" s="17" t="s">
        <v>710</v>
      </c>
      <c r="J136" s="18">
        <v>14</v>
      </c>
      <c r="K136" s="19" t="s">
        <v>24</v>
      </c>
      <c r="L136" s="25" t="s">
        <v>646</v>
      </c>
      <c r="M136" s="16" t="s">
        <v>947</v>
      </c>
      <c r="N136" s="15">
        <v>490</v>
      </c>
      <c r="O136" s="28" t="s">
        <v>29</v>
      </c>
      <c r="S136"/>
      <c r="T136"/>
    </row>
    <row r="137" spans="2:20" ht="13.5" customHeight="1" x14ac:dyDescent="0.3">
      <c r="B137" s="14" t="s">
        <v>23</v>
      </c>
      <c r="C137" s="20">
        <v>1</v>
      </c>
      <c r="D137" s="22" t="s">
        <v>747</v>
      </c>
      <c r="E137" s="14">
        <v>2023</v>
      </c>
      <c r="F137" s="14" t="s">
        <v>397</v>
      </c>
      <c r="G137" s="14" t="s">
        <v>397</v>
      </c>
      <c r="H137" s="14" t="s">
        <v>748</v>
      </c>
      <c r="I137" s="17" t="s">
        <v>748</v>
      </c>
      <c r="J137" s="18">
        <v>10</v>
      </c>
      <c r="K137" s="19" t="s">
        <v>24</v>
      </c>
      <c r="L137" s="25" t="s">
        <v>646</v>
      </c>
      <c r="M137" s="16" t="s">
        <v>948</v>
      </c>
      <c r="N137" s="15">
        <v>333</v>
      </c>
      <c r="O137" s="28"/>
      <c r="S137"/>
      <c r="T137"/>
    </row>
    <row r="138" spans="2:20" ht="13.5" customHeight="1" x14ac:dyDescent="0.3">
      <c r="B138" s="14" t="s">
        <v>23</v>
      </c>
      <c r="C138" s="20">
        <v>1</v>
      </c>
      <c r="D138" s="22" t="s">
        <v>749</v>
      </c>
      <c r="E138" s="14">
        <v>2023</v>
      </c>
      <c r="F138" s="14" t="s">
        <v>397</v>
      </c>
      <c r="G138" s="14" t="s">
        <v>397</v>
      </c>
      <c r="H138" s="14" t="s">
        <v>743</v>
      </c>
      <c r="I138" s="17" t="s">
        <v>743</v>
      </c>
      <c r="J138" s="18">
        <v>39</v>
      </c>
      <c r="K138" s="19" t="s">
        <v>24</v>
      </c>
      <c r="L138" s="25" t="s">
        <v>640</v>
      </c>
      <c r="M138" s="16" t="s">
        <v>949</v>
      </c>
      <c r="N138" s="15">
        <v>1111</v>
      </c>
      <c r="O138" s="28"/>
      <c r="S138"/>
      <c r="T138"/>
    </row>
    <row r="139" spans="2:20" ht="13.5" customHeight="1" x14ac:dyDescent="0.3">
      <c r="B139" s="14" t="s">
        <v>23</v>
      </c>
      <c r="C139" s="20">
        <v>1</v>
      </c>
      <c r="D139" s="22" t="s">
        <v>750</v>
      </c>
      <c r="E139" s="14">
        <v>2017</v>
      </c>
      <c r="F139" s="14" t="s">
        <v>397</v>
      </c>
      <c r="G139" s="14" t="s">
        <v>397</v>
      </c>
      <c r="H139" s="14" t="s">
        <v>399</v>
      </c>
      <c r="I139" s="17" t="s">
        <v>399</v>
      </c>
      <c r="J139" s="18">
        <v>24</v>
      </c>
      <c r="K139" s="19" t="s">
        <v>24</v>
      </c>
      <c r="L139" s="25" t="s">
        <v>646</v>
      </c>
      <c r="M139" s="16" t="s">
        <v>950</v>
      </c>
      <c r="N139" s="15">
        <v>696</v>
      </c>
      <c r="O139" s="28"/>
      <c r="S139"/>
      <c r="T139"/>
    </row>
    <row r="140" spans="2:20" ht="13.5" customHeight="1" x14ac:dyDescent="0.3">
      <c r="B140" s="14" t="s">
        <v>23</v>
      </c>
      <c r="C140" s="20">
        <v>1</v>
      </c>
      <c r="D140" s="22" t="s">
        <v>751</v>
      </c>
      <c r="E140" s="14">
        <v>2018</v>
      </c>
      <c r="F140" s="14" t="s">
        <v>397</v>
      </c>
      <c r="G140" s="14" t="s">
        <v>397</v>
      </c>
      <c r="H140" s="14" t="s">
        <v>707</v>
      </c>
      <c r="I140" s="17" t="s">
        <v>752</v>
      </c>
      <c r="J140" s="18">
        <v>27</v>
      </c>
      <c r="K140" s="19" t="s">
        <v>24</v>
      </c>
      <c r="L140" s="25" t="s">
        <v>646</v>
      </c>
      <c r="M140" s="16" t="s">
        <v>951</v>
      </c>
      <c r="N140" s="15">
        <v>0</v>
      </c>
      <c r="O140" s="28"/>
      <c r="S140"/>
      <c r="T140"/>
    </row>
    <row r="141" spans="2:20" ht="13.5" customHeight="1" x14ac:dyDescent="0.3">
      <c r="B141" s="14" t="s">
        <v>23</v>
      </c>
      <c r="C141" s="20">
        <v>1</v>
      </c>
      <c r="D141" s="22" t="s">
        <v>753</v>
      </c>
      <c r="E141" s="14">
        <v>2011</v>
      </c>
      <c r="F141" s="14" t="s">
        <v>397</v>
      </c>
      <c r="G141" s="14" t="s">
        <v>397</v>
      </c>
      <c r="H141" s="14" t="s">
        <v>738</v>
      </c>
      <c r="I141" s="17" t="s">
        <v>738</v>
      </c>
      <c r="J141" s="18">
        <v>8</v>
      </c>
      <c r="K141" s="19" t="s">
        <v>24</v>
      </c>
      <c r="L141" s="25" t="s">
        <v>640</v>
      </c>
      <c r="M141" s="16" t="s">
        <v>952</v>
      </c>
      <c r="N141" s="15">
        <v>222</v>
      </c>
      <c r="O141" s="28"/>
      <c r="S141"/>
      <c r="T141"/>
    </row>
    <row r="142" spans="2:20" ht="13.5" customHeight="1" x14ac:dyDescent="0.3">
      <c r="B142" s="14" t="s">
        <v>23</v>
      </c>
      <c r="C142" s="20">
        <v>1</v>
      </c>
      <c r="D142" s="22" t="s">
        <v>754</v>
      </c>
      <c r="E142" s="14">
        <v>2021</v>
      </c>
      <c r="F142" s="14" t="s">
        <v>397</v>
      </c>
      <c r="G142" s="14" t="s">
        <v>397</v>
      </c>
      <c r="H142" s="14" t="s">
        <v>703</v>
      </c>
      <c r="I142" s="17" t="s">
        <v>703</v>
      </c>
      <c r="J142" s="18">
        <v>18</v>
      </c>
      <c r="K142" s="19" t="s">
        <v>24</v>
      </c>
      <c r="L142" s="25" t="s">
        <v>646</v>
      </c>
      <c r="M142" s="16" t="s">
        <v>953</v>
      </c>
      <c r="N142" s="15">
        <v>732</v>
      </c>
      <c r="O142" s="28"/>
      <c r="S142"/>
      <c r="T142"/>
    </row>
    <row r="143" spans="2:20" ht="13.5" customHeight="1" x14ac:dyDescent="0.3">
      <c r="B143" s="14" t="s">
        <v>23</v>
      </c>
      <c r="C143" s="20">
        <v>1</v>
      </c>
      <c r="D143" s="22" t="s">
        <v>400</v>
      </c>
      <c r="E143" s="14">
        <v>2015</v>
      </c>
      <c r="F143" s="14" t="s">
        <v>397</v>
      </c>
      <c r="G143" s="14" t="s">
        <v>397</v>
      </c>
      <c r="H143" s="14" t="s">
        <v>401</v>
      </c>
      <c r="I143" s="17" t="s">
        <v>401</v>
      </c>
      <c r="J143" s="18">
        <v>19</v>
      </c>
      <c r="K143" s="19" t="s">
        <v>24</v>
      </c>
      <c r="L143" s="25" t="s">
        <v>646</v>
      </c>
      <c r="M143" s="16" t="s">
        <v>488</v>
      </c>
      <c r="N143" s="15">
        <v>687</v>
      </c>
      <c r="O143" s="28"/>
      <c r="S143"/>
      <c r="T143"/>
    </row>
    <row r="144" spans="2:20" ht="13.5" customHeight="1" x14ac:dyDescent="0.3">
      <c r="B144" s="14" t="s">
        <v>23</v>
      </c>
      <c r="C144" s="20">
        <v>1</v>
      </c>
      <c r="D144" s="16" t="s">
        <v>755</v>
      </c>
      <c r="E144" s="14">
        <v>2006</v>
      </c>
      <c r="F144" s="14" t="s">
        <v>756</v>
      </c>
      <c r="G144" s="14" t="s">
        <v>757</v>
      </c>
      <c r="H144" s="14" t="s">
        <v>758</v>
      </c>
      <c r="I144" s="17" t="s">
        <v>758</v>
      </c>
      <c r="J144" s="18">
        <v>8</v>
      </c>
      <c r="K144" s="19" t="s">
        <v>24</v>
      </c>
      <c r="L144" s="25" t="s">
        <v>643</v>
      </c>
      <c r="M144" s="16">
        <v>32</v>
      </c>
      <c r="N144" s="15">
        <v>230</v>
      </c>
      <c r="O144" s="28" t="s">
        <v>29</v>
      </c>
      <c r="S144"/>
      <c r="T144"/>
    </row>
    <row r="145" spans="2:20" ht="13.5" customHeight="1" x14ac:dyDescent="0.3">
      <c r="B145" s="14" t="s">
        <v>23</v>
      </c>
      <c r="C145" s="20">
        <v>1</v>
      </c>
      <c r="D145" s="22" t="s">
        <v>759</v>
      </c>
      <c r="E145" s="14">
        <v>1990</v>
      </c>
      <c r="F145" s="14" t="s">
        <v>756</v>
      </c>
      <c r="G145" s="14" t="s">
        <v>757</v>
      </c>
      <c r="H145" s="14" t="s">
        <v>760</v>
      </c>
      <c r="I145" s="17" t="s">
        <v>761</v>
      </c>
      <c r="J145" s="18">
        <v>13</v>
      </c>
      <c r="K145" s="19" t="s">
        <v>24</v>
      </c>
      <c r="L145" s="25" t="s">
        <v>642</v>
      </c>
      <c r="M145" s="16" t="s">
        <v>954</v>
      </c>
      <c r="N145" s="15">
        <v>364</v>
      </c>
      <c r="O145" s="28" t="s">
        <v>29</v>
      </c>
      <c r="S145"/>
      <c r="T145"/>
    </row>
    <row r="146" spans="2:20" ht="13.5" customHeight="1" x14ac:dyDescent="0.3">
      <c r="B146" s="14" t="s">
        <v>23</v>
      </c>
      <c r="C146" s="20">
        <v>1</v>
      </c>
      <c r="D146" s="22" t="s">
        <v>762</v>
      </c>
      <c r="E146" s="14">
        <v>2018</v>
      </c>
      <c r="F146" s="14" t="s">
        <v>756</v>
      </c>
      <c r="G146" s="14" t="s">
        <v>757</v>
      </c>
      <c r="H146" s="14" t="s">
        <v>763</v>
      </c>
      <c r="I146" s="17" t="s">
        <v>764</v>
      </c>
      <c r="J146" s="18">
        <v>45</v>
      </c>
      <c r="K146" s="19" t="s">
        <v>24</v>
      </c>
      <c r="L146" s="25" t="s">
        <v>646</v>
      </c>
      <c r="M146" s="16" t="s">
        <v>955</v>
      </c>
      <c r="N146" s="15">
        <v>1730</v>
      </c>
      <c r="O146" s="28" t="s">
        <v>29</v>
      </c>
      <c r="S146"/>
      <c r="T146"/>
    </row>
    <row r="147" spans="2:20" ht="13.5" customHeight="1" x14ac:dyDescent="0.3">
      <c r="B147" s="14" t="s">
        <v>23</v>
      </c>
      <c r="C147" s="20">
        <v>1</v>
      </c>
      <c r="D147" s="22" t="s">
        <v>765</v>
      </c>
      <c r="E147" s="14">
        <v>2015</v>
      </c>
      <c r="F147" s="14" t="s">
        <v>756</v>
      </c>
      <c r="G147" s="14" t="s">
        <v>757</v>
      </c>
      <c r="H147" s="14" t="s">
        <v>763</v>
      </c>
      <c r="I147" s="17" t="s">
        <v>766</v>
      </c>
      <c r="J147" s="18">
        <v>17</v>
      </c>
      <c r="K147" s="19" t="s">
        <v>24</v>
      </c>
      <c r="L147" s="25" t="s">
        <v>646</v>
      </c>
      <c r="M147" s="16" t="s">
        <v>133</v>
      </c>
      <c r="N147" s="15">
        <v>800</v>
      </c>
      <c r="O147" s="28" t="s">
        <v>29</v>
      </c>
      <c r="S147"/>
      <c r="T147"/>
    </row>
    <row r="148" spans="2:20" ht="13.5" customHeight="1" x14ac:dyDescent="0.3">
      <c r="B148" s="14" t="s">
        <v>23</v>
      </c>
      <c r="C148" s="20">
        <v>1</v>
      </c>
      <c r="D148" s="16" t="s">
        <v>767</v>
      </c>
      <c r="E148" s="14">
        <v>1992</v>
      </c>
      <c r="F148" s="14" t="s">
        <v>31</v>
      </c>
      <c r="G148" s="14" t="s">
        <v>32</v>
      </c>
      <c r="H148" s="14" t="s">
        <v>768</v>
      </c>
      <c r="I148" s="17" t="s">
        <v>769</v>
      </c>
      <c r="J148" s="18">
        <v>12</v>
      </c>
      <c r="K148" s="19" t="s">
        <v>24</v>
      </c>
      <c r="L148" s="25" t="s">
        <v>646</v>
      </c>
      <c r="M148" s="16" t="s">
        <v>131</v>
      </c>
      <c r="N148" s="15">
        <v>472</v>
      </c>
      <c r="O148" s="28"/>
      <c r="S148"/>
      <c r="T148"/>
    </row>
    <row r="149" spans="2:20" ht="13.5" customHeight="1" x14ac:dyDescent="0.3">
      <c r="B149" s="14" t="s">
        <v>23</v>
      </c>
      <c r="C149" s="20">
        <v>1</v>
      </c>
      <c r="D149" s="16" t="s">
        <v>770</v>
      </c>
      <c r="E149" s="14">
        <v>2020</v>
      </c>
      <c r="F149" s="14" t="s">
        <v>31</v>
      </c>
      <c r="G149" s="14" t="s">
        <v>32</v>
      </c>
      <c r="H149" s="14" t="s">
        <v>771</v>
      </c>
      <c r="I149" s="17" t="s">
        <v>771</v>
      </c>
      <c r="J149" s="18">
        <v>14</v>
      </c>
      <c r="K149" s="19" t="s">
        <v>24</v>
      </c>
      <c r="L149" s="25" t="s">
        <v>646</v>
      </c>
      <c r="M149" s="16">
        <v>32</v>
      </c>
      <c r="N149" s="15">
        <v>610</v>
      </c>
      <c r="O149" s="28" t="s">
        <v>29</v>
      </c>
      <c r="S149"/>
      <c r="T149"/>
    </row>
    <row r="150" spans="2:20" ht="13.5" customHeight="1" x14ac:dyDescent="0.3">
      <c r="B150" s="14" t="s">
        <v>23</v>
      </c>
      <c r="C150" s="20">
        <v>1</v>
      </c>
      <c r="D150" s="16" t="s">
        <v>772</v>
      </c>
      <c r="E150" s="14">
        <v>1996</v>
      </c>
      <c r="F150" s="14" t="s">
        <v>31</v>
      </c>
      <c r="G150" s="14" t="s">
        <v>773</v>
      </c>
      <c r="H150" s="14" t="s">
        <v>774</v>
      </c>
      <c r="I150" s="17" t="s">
        <v>774</v>
      </c>
      <c r="J150" s="18">
        <v>8</v>
      </c>
      <c r="K150" s="19" t="s">
        <v>24</v>
      </c>
      <c r="L150" s="25" t="s">
        <v>646</v>
      </c>
      <c r="M150" s="16" t="s">
        <v>196</v>
      </c>
      <c r="N150" s="15">
        <v>720</v>
      </c>
      <c r="O150" s="28" t="s">
        <v>29</v>
      </c>
      <c r="S150"/>
      <c r="T150"/>
    </row>
    <row r="151" spans="2:20" ht="13.5" customHeight="1" x14ac:dyDescent="0.3">
      <c r="B151" s="14" t="s">
        <v>23</v>
      </c>
      <c r="C151" s="20">
        <v>1</v>
      </c>
      <c r="D151" s="16" t="s">
        <v>775</v>
      </c>
      <c r="E151" s="14">
        <v>2022</v>
      </c>
      <c r="F151" s="14" t="s">
        <v>31</v>
      </c>
      <c r="G151" s="14" t="s">
        <v>32</v>
      </c>
      <c r="H151" s="14" t="s">
        <v>776</v>
      </c>
      <c r="I151" s="17" t="s">
        <v>776</v>
      </c>
      <c r="J151" s="18">
        <v>19</v>
      </c>
      <c r="K151" s="19" t="s">
        <v>24</v>
      </c>
      <c r="L151" s="25" t="s">
        <v>646</v>
      </c>
      <c r="M151" s="16" t="s">
        <v>956</v>
      </c>
      <c r="N151" s="15">
        <v>748</v>
      </c>
      <c r="O151" s="28" t="s">
        <v>29</v>
      </c>
      <c r="S151"/>
      <c r="T151"/>
    </row>
    <row r="152" spans="2:20" ht="13.5" customHeight="1" x14ac:dyDescent="0.3">
      <c r="B152" s="14" t="s">
        <v>23</v>
      </c>
      <c r="C152" s="20">
        <v>1</v>
      </c>
      <c r="D152" s="16" t="s">
        <v>228</v>
      </c>
      <c r="E152" s="14">
        <v>2021</v>
      </c>
      <c r="F152" s="14" t="s">
        <v>31</v>
      </c>
      <c r="G152" s="14" t="s">
        <v>32</v>
      </c>
      <c r="H152" s="14" t="s">
        <v>229</v>
      </c>
      <c r="I152" s="17" t="s">
        <v>229</v>
      </c>
      <c r="J152" s="18">
        <v>38</v>
      </c>
      <c r="K152" s="19" t="s">
        <v>24</v>
      </c>
      <c r="L152" s="25" t="s">
        <v>646</v>
      </c>
      <c r="M152" s="16" t="s">
        <v>207</v>
      </c>
      <c r="N152" s="15">
        <v>1692</v>
      </c>
      <c r="O152" s="28" t="s">
        <v>29</v>
      </c>
      <c r="S152"/>
      <c r="T152"/>
    </row>
    <row r="153" spans="2:20" ht="13.5" customHeight="1" x14ac:dyDescent="0.3">
      <c r="B153" s="14" t="s">
        <v>23</v>
      </c>
      <c r="C153" s="20">
        <v>1</v>
      </c>
      <c r="D153" s="16" t="s">
        <v>777</v>
      </c>
      <c r="E153" s="14">
        <v>2006</v>
      </c>
      <c r="F153" s="14" t="s">
        <v>31</v>
      </c>
      <c r="G153" s="14" t="s">
        <v>32</v>
      </c>
      <c r="H153" s="14" t="s">
        <v>778</v>
      </c>
      <c r="I153" s="17" t="s">
        <v>768</v>
      </c>
      <c r="J153" s="18">
        <v>33</v>
      </c>
      <c r="K153" s="19" t="s">
        <v>24</v>
      </c>
      <c r="L153" s="25" t="s">
        <v>643</v>
      </c>
      <c r="M153" s="16" t="s">
        <v>194</v>
      </c>
      <c r="N153" s="15">
        <v>1120</v>
      </c>
      <c r="O153" s="28" t="s">
        <v>29</v>
      </c>
      <c r="S153"/>
      <c r="T153"/>
    </row>
    <row r="154" spans="2:20" ht="13.5" customHeight="1" x14ac:dyDescent="0.3">
      <c r="B154" s="14" t="s">
        <v>23</v>
      </c>
      <c r="C154" s="20">
        <v>1</v>
      </c>
      <c r="D154" s="22" t="s">
        <v>779</v>
      </c>
      <c r="E154" s="14" t="s">
        <v>63</v>
      </c>
      <c r="F154" s="14" t="s">
        <v>31</v>
      </c>
      <c r="G154" s="14" t="s">
        <v>32</v>
      </c>
      <c r="H154" s="14" t="s">
        <v>137</v>
      </c>
      <c r="I154" s="17" t="s">
        <v>771</v>
      </c>
      <c r="J154" s="18">
        <v>24</v>
      </c>
      <c r="K154" s="19" t="s">
        <v>24</v>
      </c>
      <c r="L154" s="25" t="s">
        <v>646</v>
      </c>
      <c r="M154" s="16" t="s">
        <v>957</v>
      </c>
      <c r="N154" s="15">
        <v>1077</v>
      </c>
      <c r="O154" s="28" t="s">
        <v>29</v>
      </c>
      <c r="S154"/>
      <c r="T154"/>
    </row>
    <row r="155" spans="2:20" ht="13.5" customHeight="1" x14ac:dyDescent="0.3">
      <c r="B155" s="14" t="s">
        <v>23</v>
      </c>
      <c r="C155" s="20">
        <v>1</v>
      </c>
      <c r="D155" s="22" t="s">
        <v>319</v>
      </c>
      <c r="E155" s="14">
        <v>2017</v>
      </c>
      <c r="F155" s="14" t="s">
        <v>31</v>
      </c>
      <c r="G155" s="14" t="s">
        <v>32</v>
      </c>
      <c r="H155" s="14" t="s">
        <v>137</v>
      </c>
      <c r="I155" s="17" t="s">
        <v>320</v>
      </c>
      <c r="J155" s="18">
        <v>10</v>
      </c>
      <c r="K155" s="19" t="s">
        <v>24</v>
      </c>
      <c r="L155" s="25" t="s">
        <v>640</v>
      </c>
      <c r="M155" s="16" t="s">
        <v>341</v>
      </c>
      <c r="N155" s="15">
        <v>390</v>
      </c>
      <c r="O155" s="28" t="s">
        <v>29</v>
      </c>
      <c r="S155"/>
      <c r="T155"/>
    </row>
    <row r="156" spans="2:20" ht="13.5" customHeight="1" x14ac:dyDescent="0.3">
      <c r="B156" s="14" t="s">
        <v>23</v>
      </c>
      <c r="C156" s="20">
        <v>1</v>
      </c>
      <c r="D156" s="22" t="s">
        <v>780</v>
      </c>
      <c r="E156" s="14">
        <v>2001</v>
      </c>
      <c r="F156" s="14" t="s">
        <v>31</v>
      </c>
      <c r="G156" s="14" t="s">
        <v>32</v>
      </c>
      <c r="H156" s="14" t="s">
        <v>781</v>
      </c>
      <c r="I156" s="17" t="s">
        <v>782</v>
      </c>
      <c r="J156" s="18">
        <v>18</v>
      </c>
      <c r="K156" s="19" t="s">
        <v>24</v>
      </c>
      <c r="L156" s="25" t="s">
        <v>646</v>
      </c>
      <c r="M156" s="16" t="s">
        <v>958</v>
      </c>
      <c r="N156" s="15">
        <v>620</v>
      </c>
      <c r="O156" s="28" t="s">
        <v>29</v>
      </c>
      <c r="S156"/>
      <c r="T156"/>
    </row>
    <row r="157" spans="2:20" ht="13.5" customHeight="1" x14ac:dyDescent="0.3">
      <c r="B157" s="14" t="s">
        <v>30</v>
      </c>
      <c r="C157" s="20">
        <v>1</v>
      </c>
      <c r="D157" s="22" t="s">
        <v>783</v>
      </c>
      <c r="E157" s="14">
        <v>2019</v>
      </c>
      <c r="F157" s="14" t="s">
        <v>31</v>
      </c>
      <c r="G157" s="14" t="s">
        <v>32</v>
      </c>
      <c r="H157" s="14" t="s">
        <v>33</v>
      </c>
      <c r="I157" s="17" t="s">
        <v>784</v>
      </c>
      <c r="J157" s="18">
        <v>11</v>
      </c>
      <c r="K157" s="19" t="s">
        <v>24</v>
      </c>
      <c r="L157" s="25" t="s">
        <v>643</v>
      </c>
      <c r="M157" s="16" t="s">
        <v>959</v>
      </c>
      <c r="N157" s="15">
        <v>466</v>
      </c>
      <c r="O157" s="28" t="s">
        <v>29</v>
      </c>
      <c r="S157"/>
      <c r="T157"/>
    </row>
    <row r="158" spans="2:20" ht="13.5" customHeight="1" x14ac:dyDescent="0.3">
      <c r="B158" s="14" t="s">
        <v>23</v>
      </c>
      <c r="C158" s="20">
        <v>1</v>
      </c>
      <c r="D158" s="22" t="s">
        <v>785</v>
      </c>
      <c r="E158" s="14">
        <v>1993</v>
      </c>
      <c r="F158" s="14" t="s">
        <v>31</v>
      </c>
      <c r="G158" s="14" t="s">
        <v>32</v>
      </c>
      <c r="H158" s="14" t="s">
        <v>781</v>
      </c>
      <c r="I158" s="17" t="s">
        <v>786</v>
      </c>
      <c r="J158" s="18">
        <v>5</v>
      </c>
      <c r="K158" s="19" t="s">
        <v>24</v>
      </c>
      <c r="L158" s="25" t="s">
        <v>646</v>
      </c>
      <c r="M158" s="16" t="s">
        <v>349</v>
      </c>
      <c r="N158" s="15">
        <v>180</v>
      </c>
      <c r="O158" s="28" t="s">
        <v>29</v>
      </c>
      <c r="S158"/>
      <c r="T158"/>
    </row>
    <row r="159" spans="2:20" ht="13.5" customHeight="1" x14ac:dyDescent="0.3">
      <c r="B159" s="14" t="s">
        <v>23</v>
      </c>
      <c r="C159" s="20">
        <v>1</v>
      </c>
      <c r="D159" s="22" t="s">
        <v>34</v>
      </c>
      <c r="E159" s="14">
        <v>2023</v>
      </c>
      <c r="F159" s="14" t="s">
        <v>31</v>
      </c>
      <c r="G159" s="14" t="s">
        <v>32</v>
      </c>
      <c r="H159" s="14" t="s">
        <v>33</v>
      </c>
      <c r="I159" s="17" t="s">
        <v>35</v>
      </c>
      <c r="J159" s="18">
        <v>21</v>
      </c>
      <c r="K159" s="19" t="s">
        <v>24</v>
      </c>
      <c r="L159" s="25" t="s">
        <v>640</v>
      </c>
      <c r="M159" s="16" t="s">
        <v>36</v>
      </c>
      <c r="N159" s="15">
        <v>925</v>
      </c>
      <c r="O159" s="28" t="s">
        <v>29</v>
      </c>
      <c r="S159"/>
      <c r="T159"/>
    </row>
    <row r="160" spans="2:20" ht="13.5" customHeight="1" x14ac:dyDescent="0.3">
      <c r="B160" s="14" t="s">
        <v>23</v>
      </c>
      <c r="C160" s="20">
        <v>1</v>
      </c>
      <c r="D160" s="22" t="s">
        <v>1007</v>
      </c>
      <c r="E160" s="14">
        <v>2018</v>
      </c>
      <c r="F160" s="14" t="s">
        <v>31</v>
      </c>
      <c r="G160" s="14" t="s">
        <v>32</v>
      </c>
      <c r="H160" s="14" t="s">
        <v>138</v>
      </c>
      <c r="I160" s="17" t="s">
        <v>138</v>
      </c>
      <c r="J160" s="18">
        <v>15</v>
      </c>
      <c r="K160" s="19" t="s">
        <v>24</v>
      </c>
      <c r="L160" s="25" t="s">
        <v>640</v>
      </c>
      <c r="M160" s="16" t="s">
        <v>197</v>
      </c>
      <c r="N160" s="15">
        <v>729</v>
      </c>
      <c r="O160" s="28" t="s">
        <v>29</v>
      </c>
      <c r="S160"/>
      <c r="T160"/>
    </row>
    <row r="161" spans="2:20" ht="13.5" customHeight="1" x14ac:dyDescent="0.3">
      <c r="B161" s="14" t="s">
        <v>23</v>
      </c>
      <c r="C161" s="20">
        <v>1</v>
      </c>
      <c r="D161" s="22" t="s">
        <v>787</v>
      </c>
      <c r="E161" s="14">
        <v>2015</v>
      </c>
      <c r="F161" s="14" t="s">
        <v>31</v>
      </c>
      <c r="G161" s="14" t="s">
        <v>32</v>
      </c>
      <c r="H161" s="14" t="s">
        <v>788</v>
      </c>
      <c r="I161" s="17" t="s">
        <v>788</v>
      </c>
      <c r="J161" s="18">
        <v>4</v>
      </c>
      <c r="K161" s="19" t="s">
        <v>24</v>
      </c>
      <c r="L161" s="25" t="s">
        <v>646</v>
      </c>
      <c r="M161" s="16">
        <v>14</v>
      </c>
      <c r="N161" s="15">
        <v>176</v>
      </c>
      <c r="O161" s="28" t="s">
        <v>29</v>
      </c>
      <c r="S161"/>
      <c r="T161"/>
    </row>
    <row r="162" spans="2:20" ht="13.5" customHeight="1" x14ac:dyDescent="0.3">
      <c r="B162" s="14" t="s">
        <v>23</v>
      </c>
      <c r="C162" s="20">
        <v>1</v>
      </c>
      <c r="D162" s="22" t="s">
        <v>789</v>
      </c>
      <c r="E162" s="14">
        <v>2011</v>
      </c>
      <c r="F162" s="14" t="s">
        <v>557</v>
      </c>
      <c r="G162" s="14" t="s">
        <v>122</v>
      </c>
      <c r="H162" s="14" t="s">
        <v>790</v>
      </c>
      <c r="I162" s="17" t="s">
        <v>790</v>
      </c>
      <c r="J162" s="18">
        <v>7</v>
      </c>
      <c r="K162" s="19" t="s">
        <v>24</v>
      </c>
      <c r="L162" s="25" t="s">
        <v>646</v>
      </c>
      <c r="M162" s="16" t="s">
        <v>960</v>
      </c>
      <c r="N162" s="15">
        <v>319</v>
      </c>
      <c r="O162" s="28" t="s">
        <v>29</v>
      </c>
      <c r="S162"/>
      <c r="T162"/>
    </row>
    <row r="163" spans="2:20" ht="13.5" customHeight="1" x14ac:dyDescent="0.3">
      <c r="B163" s="14" t="s">
        <v>23</v>
      </c>
      <c r="C163" s="20">
        <v>1</v>
      </c>
      <c r="D163" s="22" t="s">
        <v>791</v>
      </c>
      <c r="E163" s="14">
        <v>2005</v>
      </c>
      <c r="F163" s="14" t="s">
        <v>792</v>
      </c>
      <c r="G163" s="14" t="s">
        <v>793</v>
      </c>
      <c r="H163" s="14" t="s">
        <v>794</v>
      </c>
      <c r="I163" s="17" t="s">
        <v>795</v>
      </c>
      <c r="J163" s="18">
        <v>23</v>
      </c>
      <c r="K163" s="19" t="s">
        <v>24</v>
      </c>
      <c r="L163" s="25" t="s">
        <v>646</v>
      </c>
      <c r="M163" s="16" t="s">
        <v>961</v>
      </c>
      <c r="N163" s="15">
        <v>888</v>
      </c>
      <c r="O163" s="28" t="s">
        <v>29</v>
      </c>
      <c r="S163"/>
      <c r="T163"/>
    </row>
    <row r="164" spans="2:20" ht="13.5" customHeight="1" x14ac:dyDescent="0.3">
      <c r="B164" s="14" t="s">
        <v>23</v>
      </c>
      <c r="C164" s="15">
        <v>1</v>
      </c>
      <c r="D164" s="16" t="s">
        <v>139</v>
      </c>
      <c r="E164" s="14">
        <v>2004</v>
      </c>
      <c r="F164" s="14" t="s">
        <v>25</v>
      </c>
      <c r="G164" s="14" t="s">
        <v>38</v>
      </c>
      <c r="H164" s="14" t="s">
        <v>140</v>
      </c>
      <c r="I164" s="17" t="s">
        <v>141</v>
      </c>
      <c r="J164" s="18">
        <v>13</v>
      </c>
      <c r="K164" s="19" t="s">
        <v>24</v>
      </c>
      <c r="L164" s="25" t="s">
        <v>648</v>
      </c>
      <c r="M164" s="16" t="s">
        <v>198</v>
      </c>
      <c r="N164" s="15">
        <v>480</v>
      </c>
      <c r="O164" s="28"/>
      <c r="S164"/>
      <c r="T164"/>
    </row>
    <row r="165" spans="2:20" ht="13.5" customHeight="1" x14ac:dyDescent="0.3">
      <c r="B165" s="14" t="s">
        <v>23</v>
      </c>
      <c r="C165" s="15">
        <v>1</v>
      </c>
      <c r="D165" s="16" t="s">
        <v>230</v>
      </c>
      <c r="E165" s="14">
        <v>2003</v>
      </c>
      <c r="F165" s="14" t="s">
        <v>25</v>
      </c>
      <c r="G165" s="14" t="s">
        <v>146</v>
      </c>
      <c r="H165" s="14" t="s">
        <v>158</v>
      </c>
      <c r="I165" s="17" t="s">
        <v>158</v>
      </c>
      <c r="J165" s="18">
        <v>45</v>
      </c>
      <c r="K165" s="19" t="s">
        <v>24</v>
      </c>
      <c r="L165" s="25" t="s">
        <v>640</v>
      </c>
      <c r="M165" s="16" t="s">
        <v>277</v>
      </c>
      <c r="N165" s="15">
        <v>2160</v>
      </c>
      <c r="O165" s="28"/>
      <c r="S165"/>
      <c r="T165"/>
    </row>
    <row r="166" spans="2:20" ht="13.5" customHeight="1" x14ac:dyDescent="0.3">
      <c r="B166" s="14" t="s">
        <v>23</v>
      </c>
      <c r="C166" s="15">
        <v>1</v>
      </c>
      <c r="D166" s="16" t="s">
        <v>143</v>
      </c>
      <c r="E166" s="14">
        <v>2006</v>
      </c>
      <c r="F166" s="14" t="s">
        <v>25</v>
      </c>
      <c r="G166" s="14" t="s">
        <v>38</v>
      </c>
      <c r="H166" s="14" t="s">
        <v>39</v>
      </c>
      <c r="I166" s="17" t="s">
        <v>144</v>
      </c>
      <c r="J166" s="18">
        <v>6</v>
      </c>
      <c r="K166" s="19" t="s">
        <v>24</v>
      </c>
      <c r="L166" s="25" t="s">
        <v>648</v>
      </c>
      <c r="M166" s="16" t="s">
        <v>200</v>
      </c>
      <c r="N166" s="15">
        <v>179</v>
      </c>
      <c r="O166" s="28"/>
      <c r="S166"/>
      <c r="T166"/>
    </row>
    <row r="167" spans="2:20" ht="13.5" customHeight="1" x14ac:dyDescent="0.3">
      <c r="B167" s="14" t="s">
        <v>23</v>
      </c>
      <c r="C167" s="15">
        <v>1</v>
      </c>
      <c r="D167" s="16" t="s">
        <v>796</v>
      </c>
      <c r="E167" s="14">
        <v>2006</v>
      </c>
      <c r="F167" s="14" t="s">
        <v>25</v>
      </c>
      <c r="G167" s="14" t="s">
        <v>38</v>
      </c>
      <c r="H167" s="14" t="s">
        <v>39</v>
      </c>
      <c r="I167" s="17" t="s">
        <v>144</v>
      </c>
      <c r="J167" s="18">
        <v>7</v>
      </c>
      <c r="K167" s="19" t="s">
        <v>24</v>
      </c>
      <c r="L167" s="25" t="s">
        <v>640</v>
      </c>
      <c r="M167" s="16">
        <v>32</v>
      </c>
      <c r="N167" s="15">
        <v>299</v>
      </c>
      <c r="O167" s="28"/>
      <c r="S167"/>
      <c r="T167"/>
    </row>
    <row r="168" spans="2:20" ht="13.5" customHeight="1" x14ac:dyDescent="0.3">
      <c r="B168" s="14" t="s">
        <v>23</v>
      </c>
      <c r="C168" s="15">
        <v>1</v>
      </c>
      <c r="D168" s="16" t="s">
        <v>54</v>
      </c>
      <c r="E168" s="14">
        <v>2003</v>
      </c>
      <c r="F168" s="14" t="s">
        <v>25</v>
      </c>
      <c r="G168" s="14" t="s">
        <v>38</v>
      </c>
      <c r="H168" s="14" t="s">
        <v>55</v>
      </c>
      <c r="I168" s="17" t="s">
        <v>56</v>
      </c>
      <c r="J168" s="18">
        <v>23</v>
      </c>
      <c r="K168" s="19" t="s">
        <v>24</v>
      </c>
      <c r="L168" s="25" t="s">
        <v>648</v>
      </c>
      <c r="M168" s="16" t="s">
        <v>69</v>
      </c>
      <c r="N168" s="15">
        <v>878</v>
      </c>
      <c r="O168" s="28"/>
      <c r="S168"/>
      <c r="T168"/>
    </row>
    <row r="169" spans="2:20" ht="13.5" customHeight="1" x14ac:dyDescent="0.3">
      <c r="B169" s="14" t="s">
        <v>23</v>
      </c>
      <c r="C169" s="15">
        <v>1</v>
      </c>
      <c r="D169" s="16" t="s">
        <v>145</v>
      </c>
      <c r="E169" s="14">
        <v>2007</v>
      </c>
      <c r="F169" s="14" t="s">
        <v>25</v>
      </c>
      <c r="G169" s="14" t="s">
        <v>146</v>
      </c>
      <c r="H169" s="14" t="s">
        <v>147</v>
      </c>
      <c r="I169" s="17" t="s">
        <v>148</v>
      </c>
      <c r="J169" s="18">
        <v>11</v>
      </c>
      <c r="K169" s="19" t="s">
        <v>24</v>
      </c>
      <c r="L169" s="25" t="s">
        <v>645</v>
      </c>
      <c r="M169" s="16" t="s">
        <v>201</v>
      </c>
      <c r="N169" s="15">
        <v>499</v>
      </c>
      <c r="O169" s="28"/>
      <c r="S169"/>
      <c r="T169"/>
    </row>
    <row r="170" spans="2:20" ht="13.5" customHeight="1" x14ac:dyDescent="0.3">
      <c r="B170" s="14" t="s">
        <v>23</v>
      </c>
      <c r="C170" s="15">
        <v>1</v>
      </c>
      <c r="D170" s="16" t="s">
        <v>797</v>
      </c>
      <c r="E170" s="14">
        <v>2008</v>
      </c>
      <c r="F170" s="14" t="s">
        <v>25</v>
      </c>
      <c r="G170" s="14" t="s">
        <v>38</v>
      </c>
      <c r="H170" s="14" t="s">
        <v>38</v>
      </c>
      <c r="I170" s="17" t="s">
        <v>798</v>
      </c>
      <c r="J170" s="18">
        <v>15</v>
      </c>
      <c r="K170" s="19" t="s">
        <v>24</v>
      </c>
      <c r="L170" s="25" t="s">
        <v>640</v>
      </c>
      <c r="M170" s="16" t="s">
        <v>962</v>
      </c>
      <c r="N170" s="15">
        <v>718</v>
      </c>
      <c r="O170" s="28"/>
      <c r="S170"/>
      <c r="T170"/>
    </row>
    <row r="171" spans="2:20" ht="13.5" customHeight="1" x14ac:dyDescent="0.3">
      <c r="B171" s="14" t="s">
        <v>23</v>
      </c>
      <c r="C171" s="15">
        <v>1</v>
      </c>
      <c r="D171" s="16" t="s">
        <v>149</v>
      </c>
      <c r="E171" s="14">
        <v>2006</v>
      </c>
      <c r="F171" s="14" t="s">
        <v>25</v>
      </c>
      <c r="G171" s="14" t="s">
        <v>146</v>
      </c>
      <c r="H171" s="14" t="s">
        <v>150</v>
      </c>
      <c r="I171" s="17" t="s">
        <v>150</v>
      </c>
      <c r="J171" s="18">
        <v>19</v>
      </c>
      <c r="K171" s="19" t="s">
        <v>24</v>
      </c>
      <c r="L171" s="25" t="s">
        <v>640</v>
      </c>
      <c r="M171" s="16" t="s">
        <v>199</v>
      </c>
      <c r="N171" s="15">
        <v>816</v>
      </c>
      <c r="O171" s="28"/>
      <c r="S171"/>
      <c r="T171"/>
    </row>
    <row r="172" spans="2:20" ht="13.5" customHeight="1" x14ac:dyDescent="0.3">
      <c r="B172" s="14" t="s">
        <v>23</v>
      </c>
      <c r="C172" s="15">
        <v>1</v>
      </c>
      <c r="D172" s="16" t="s">
        <v>153</v>
      </c>
      <c r="E172" s="14">
        <v>2008</v>
      </c>
      <c r="F172" s="14" t="s">
        <v>25</v>
      </c>
      <c r="G172" s="14" t="s">
        <v>146</v>
      </c>
      <c r="H172" s="14" t="s">
        <v>147</v>
      </c>
      <c r="I172" s="17" t="s">
        <v>147</v>
      </c>
      <c r="J172" s="18">
        <v>35</v>
      </c>
      <c r="K172" s="19" t="s">
        <v>24</v>
      </c>
      <c r="L172" s="25" t="s">
        <v>648</v>
      </c>
      <c r="M172" s="16" t="s">
        <v>203</v>
      </c>
      <c r="N172" s="15">
        <v>1824</v>
      </c>
      <c r="O172" s="28" t="s">
        <v>202</v>
      </c>
      <c r="S172"/>
      <c r="T172"/>
    </row>
    <row r="173" spans="2:20" ht="13.5" customHeight="1" x14ac:dyDescent="0.3">
      <c r="B173" s="14" t="s">
        <v>23</v>
      </c>
      <c r="C173" s="15">
        <v>1</v>
      </c>
      <c r="D173" s="16" t="s">
        <v>799</v>
      </c>
      <c r="E173" s="14">
        <v>2006</v>
      </c>
      <c r="F173" s="14" t="s">
        <v>25</v>
      </c>
      <c r="G173" s="14" t="s">
        <v>57</v>
      </c>
      <c r="H173" s="14" t="s">
        <v>142</v>
      </c>
      <c r="I173" s="17" t="s">
        <v>800</v>
      </c>
      <c r="J173" s="18">
        <v>22</v>
      </c>
      <c r="K173" s="19" t="s">
        <v>24</v>
      </c>
      <c r="L173" s="25" t="s">
        <v>645</v>
      </c>
      <c r="M173" s="16" t="s">
        <v>963</v>
      </c>
      <c r="N173" s="15">
        <v>977</v>
      </c>
      <c r="O173" s="28"/>
      <c r="S173"/>
      <c r="T173"/>
    </row>
    <row r="174" spans="2:20" ht="13.5" customHeight="1" x14ac:dyDescent="0.3">
      <c r="B174" s="14" t="s">
        <v>23</v>
      </c>
      <c r="C174" s="15">
        <v>1</v>
      </c>
      <c r="D174" s="16" t="s">
        <v>801</v>
      </c>
      <c r="E174" s="14">
        <v>2008</v>
      </c>
      <c r="F174" s="14" t="s">
        <v>25</v>
      </c>
      <c r="G174" s="14" t="s">
        <v>38</v>
      </c>
      <c r="H174" s="14" t="s">
        <v>40</v>
      </c>
      <c r="I174" s="17" t="s">
        <v>58</v>
      </c>
      <c r="J174" s="18">
        <v>9</v>
      </c>
      <c r="K174" s="19" t="s">
        <v>24</v>
      </c>
      <c r="L174" s="25" t="s">
        <v>645</v>
      </c>
      <c r="M174" s="16" t="s">
        <v>70</v>
      </c>
      <c r="N174" s="15">
        <v>299</v>
      </c>
      <c r="O174" s="28"/>
      <c r="S174"/>
      <c r="T174"/>
    </row>
    <row r="175" spans="2:20" ht="13.5" customHeight="1" x14ac:dyDescent="0.3">
      <c r="B175" s="14" t="s">
        <v>23</v>
      </c>
      <c r="C175" s="15">
        <v>1</v>
      </c>
      <c r="D175" s="16" t="s">
        <v>85</v>
      </c>
      <c r="E175" s="14">
        <v>2008</v>
      </c>
      <c r="F175" s="14" t="s">
        <v>25</v>
      </c>
      <c r="G175" s="14" t="s">
        <v>38</v>
      </c>
      <c r="H175" s="14" t="s">
        <v>40</v>
      </c>
      <c r="I175" s="17" t="s">
        <v>58</v>
      </c>
      <c r="J175" s="18">
        <v>9</v>
      </c>
      <c r="K175" s="19" t="s">
        <v>24</v>
      </c>
      <c r="L175" s="25" t="s">
        <v>645</v>
      </c>
      <c r="M175" s="16" t="s">
        <v>70</v>
      </c>
      <c r="N175" s="15">
        <v>293</v>
      </c>
      <c r="O175" s="28"/>
      <c r="S175"/>
      <c r="T175"/>
    </row>
    <row r="176" spans="2:20" ht="13.5" customHeight="1" x14ac:dyDescent="0.3">
      <c r="B176" s="14" t="s">
        <v>23</v>
      </c>
      <c r="C176" s="15">
        <v>1</v>
      </c>
      <c r="D176" s="16" t="s">
        <v>154</v>
      </c>
      <c r="E176" s="14">
        <v>2010</v>
      </c>
      <c r="F176" s="14" t="s">
        <v>25</v>
      </c>
      <c r="G176" s="14" t="s">
        <v>38</v>
      </c>
      <c r="H176" s="14" t="s">
        <v>155</v>
      </c>
      <c r="I176" s="17" t="s">
        <v>155</v>
      </c>
      <c r="J176" s="18">
        <v>16</v>
      </c>
      <c r="K176" s="19" t="s">
        <v>24</v>
      </c>
      <c r="L176" s="25" t="s">
        <v>1008</v>
      </c>
      <c r="M176" s="16" t="s">
        <v>204</v>
      </c>
      <c r="N176" s="15">
        <v>788</v>
      </c>
      <c r="O176" s="28"/>
      <c r="S176"/>
      <c r="T176"/>
    </row>
    <row r="177" spans="2:20" ht="13.5" customHeight="1" x14ac:dyDescent="0.3">
      <c r="B177" s="14" t="s">
        <v>23</v>
      </c>
      <c r="C177" s="15">
        <v>1</v>
      </c>
      <c r="D177" s="16" t="s">
        <v>802</v>
      </c>
      <c r="E177" s="14">
        <v>2009</v>
      </c>
      <c r="F177" s="14" t="s">
        <v>25</v>
      </c>
      <c r="G177" s="14" t="s">
        <v>38</v>
      </c>
      <c r="H177" s="14" t="s">
        <v>39</v>
      </c>
      <c r="I177" s="17" t="s">
        <v>144</v>
      </c>
      <c r="J177" s="18">
        <v>6</v>
      </c>
      <c r="K177" s="19" t="s">
        <v>24</v>
      </c>
      <c r="L177" s="25" t="s">
        <v>640</v>
      </c>
      <c r="M177" s="16" t="s">
        <v>964</v>
      </c>
      <c r="N177" s="15">
        <v>292</v>
      </c>
      <c r="O177" s="28"/>
      <c r="S177"/>
      <c r="T177"/>
    </row>
    <row r="178" spans="2:20" ht="13.5" customHeight="1" x14ac:dyDescent="0.3">
      <c r="B178" s="14" t="s">
        <v>23</v>
      </c>
      <c r="C178" s="15">
        <v>1</v>
      </c>
      <c r="D178" s="16" t="s">
        <v>156</v>
      </c>
      <c r="E178" s="14">
        <v>2009</v>
      </c>
      <c r="F178" s="14" t="s">
        <v>25</v>
      </c>
      <c r="G178" s="14" t="s">
        <v>38</v>
      </c>
      <c r="H178" s="14" t="s">
        <v>157</v>
      </c>
      <c r="I178" s="17" t="s">
        <v>157</v>
      </c>
      <c r="J178" s="18">
        <v>52</v>
      </c>
      <c r="K178" s="19" t="s">
        <v>24</v>
      </c>
      <c r="L178" s="25" t="s">
        <v>1008</v>
      </c>
      <c r="M178" s="16" t="s">
        <v>205</v>
      </c>
      <c r="N178" s="15">
        <v>1411</v>
      </c>
      <c r="O178" s="28"/>
      <c r="S178"/>
      <c r="T178"/>
    </row>
    <row r="179" spans="2:20" ht="13.5" customHeight="1" x14ac:dyDescent="0.3">
      <c r="B179" s="14" t="s">
        <v>23</v>
      </c>
      <c r="C179" s="15">
        <v>1</v>
      </c>
      <c r="D179" s="16" t="s">
        <v>803</v>
      </c>
      <c r="E179" s="14">
        <v>2012</v>
      </c>
      <c r="F179" s="14" t="s">
        <v>25</v>
      </c>
      <c r="G179" s="14" t="s">
        <v>57</v>
      </c>
      <c r="H179" s="14" t="s">
        <v>61</v>
      </c>
      <c r="I179" s="17" t="s">
        <v>61</v>
      </c>
      <c r="J179" s="18">
        <v>34</v>
      </c>
      <c r="K179" s="19" t="s">
        <v>24</v>
      </c>
      <c r="L179" s="25" t="s">
        <v>640</v>
      </c>
      <c r="M179" s="16" t="s">
        <v>965</v>
      </c>
      <c r="N179" s="15">
        <v>1250</v>
      </c>
      <c r="O179" s="28"/>
      <c r="S179"/>
      <c r="T179"/>
    </row>
    <row r="180" spans="2:20" ht="13.5" customHeight="1" x14ac:dyDescent="0.3">
      <c r="B180" s="14" t="s">
        <v>23</v>
      </c>
      <c r="C180" s="15">
        <v>1</v>
      </c>
      <c r="D180" s="16" t="s">
        <v>402</v>
      </c>
      <c r="E180" s="14">
        <v>2013</v>
      </c>
      <c r="F180" s="14" t="s">
        <v>25</v>
      </c>
      <c r="G180" s="14" t="s">
        <v>38</v>
      </c>
      <c r="H180" s="14" t="s">
        <v>403</v>
      </c>
      <c r="I180" s="17" t="s">
        <v>403</v>
      </c>
      <c r="J180" s="18">
        <v>25</v>
      </c>
      <c r="K180" s="19" t="s">
        <v>24</v>
      </c>
      <c r="L180" s="25" t="s">
        <v>640</v>
      </c>
      <c r="M180" s="16" t="s">
        <v>475</v>
      </c>
      <c r="N180" s="15">
        <v>832</v>
      </c>
      <c r="O180" s="28"/>
      <c r="S180"/>
      <c r="T180"/>
    </row>
    <row r="181" spans="2:20" ht="13.5" customHeight="1" x14ac:dyDescent="0.3">
      <c r="B181" s="14" t="s">
        <v>23</v>
      </c>
      <c r="C181" s="15">
        <v>1</v>
      </c>
      <c r="D181" s="16" t="s">
        <v>159</v>
      </c>
      <c r="E181" s="14">
        <v>2013</v>
      </c>
      <c r="F181" s="14" t="s">
        <v>25</v>
      </c>
      <c r="G181" s="14" t="s">
        <v>38</v>
      </c>
      <c r="H181" s="14" t="s">
        <v>39</v>
      </c>
      <c r="I181" s="17" t="s">
        <v>160</v>
      </c>
      <c r="J181" s="18">
        <v>12</v>
      </c>
      <c r="K181" s="19" t="s">
        <v>24</v>
      </c>
      <c r="L181" s="25" t="s">
        <v>645</v>
      </c>
      <c r="M181" s="16" t="s">
        <v>206</v>
      </c>
      <c r="N181" s="15">
        <v>503</v>
      </c>
      <c r="O181" s="28"/>
      <c r="S181"/>
      <c r="T181"/>
    </row>
    <row r="182" spans="2:20" ht="13.5" customHeight="1" x14ac:dyDescent="0.3">
      <c r="B182" s="14" t="s">
        <v>23</v>
      </c>
      <c r="C182" s="15">
        <v>1</v>
      </c>
      <c r="D182" s="16" t="s">
        <v>232</v>
      </c>
      <c r="E182" s="14">
        <v>2007</v>
      </c>
      <c r="F182" s="14" t="s">
        <v>25</v>
      </c>
      <c r="G182" s="14" t="s">
        <v>38</v>
      </c>
      <c r="H182" s="14" t="s">
        <v>39</v>
      </c>
      <c r="I182" s="17" t="s">
        <v>144</v>
      </c>
      <c r="J182" s="18">
        <v>4</v>
      </c>
      <c r="K182" s="19" t="s">
        <v>24</v>
      </c>
      <c r="L182" s="25" t="s">
        <v>648</v>
      </c>
      <c r="M182" s="16" t="s">
        <v>278</v>
      </c>
      <c r="N182" s="15">
        <v>153</v>
      </c>
      <c r="O182" s="28"/>
      <c r="S182"/>
      <c r="T182"/>
    </row>
    <row r="183" spans="2:20" ht="13.5" customHeight="1" x14ac:dyDescent="0.3">
      <c r="B183" s="14" t="s">
        <v>23</v>
      </c>
      <c r="C183" s="15">
        <v>1</v>
      </c>
      <c r="D183" s="16" t="s">
        <v>161</v>
      </c>
      <c r="E183" s="14">
        <v>2016</v>
      </c>
      <c r="F183" s="14" t="s">
        <v>25</v>
      </c>
      <c r="G183" s="14" t="s">
        <v>146</v>
      </c>
      <c r="H183" s="14" t="s">
        <v>147</v>
      </c>
      <c r="I183" s="17" t="s">
        <v>148</v>
      </c>
      <c r="J183" s="18">
        <v>24</v>
      </c>
      <c r="K183" s="19" t="s">
        <v>24</v>
      </c>
      <c r="L183" s="25" t="s">
        <v>645</v>
      </c>
      <c r="M183" s="16" t="s">
        <v>208</v>
      </c>
      <c r="N183" s="15">
        <v>996</v>
      </c>
      <c r="O183" s="28"/>
      <c r="S183"/>
      <c r="T183"/>
    </row>
    <row r="184" spans="2:20" ht="13.5" customHeight="1" x14ac:dyDescent="0.3">
      <c r="B184" s="14" t="s">
        <v>23</v>
      </c>
      <c r="C184" s="15">
        <v>1</v>
      </c>
      <c r="D184" s="16" t="s">
        <v>233</v>
      </c>
      <c r="E184" s="14">
        <v>2010</v>
      </c>
      <c r="F184" s="14" t="s">
        <v>25</v>
      </c>
      <c r="G184" s="14" t="s">
        <v>146</v>
      </c>
      <c r="H184" s="14" t="s">
        <v>151</v>
      </c>
      <c r="I184" s="17" t="s">
        <v>152</v>
      </c>
      <c r="J184" s="18">
        <v>23</v>
      </c>
      <c r="K184" s="19" t="s">
        <v>24</v>
      </c>
      <c r="L184" s="25" t="s">
        <v>648</v>
      </c>
      <c r="M184" s="16" t="s">
        <v>279</v>
      </c>
      <c r="N184" s="15">
        <v>1069</v>
      </c>
      <c r="O184" s="28"/>
      <c r="S184"/>
      <c r="T184"/>
    </row>
    <row r="185" spans="2:20" ht="13.5" customHeight="1" x14ac:dyDescent="0.3">
      <c r="B185" s="14" t="s">
        <v>23</v>
      </c>
      <c r="C185" s="15">
        <v>1</v>
      </c>
      <c r="D185" s="16" t="s">
        <v>162</v>
      </c>
      <c r="E185" s="14">
        <v>2015</v>
      </c>
      <c r="F185" s="14" t="s">
        <v>25</v>
      </c>
      <c r="G185" s="14" t="s">
        <v>28</v>
      </c>
      <c r="H185" s="14" t="s">
        <v>67</v>
      </c>
      <c r="I185" s="17" t="s">
        <v>163</v>
      </c>
      <c r="J185" s="18">
        <v>10</v>
      </c>
      <c r="K185" s="19" t="s">
        <v>24</v>
      </c>
      <c r="L185" s="25" t="s">
        <v>640</v>
      </c>
      <c r="M185" s="16" t="s">
        <v>109</v>
      </c>
      <c r="N185" s="15">
        <v>410</v>
      </c>
      <c r="O185" s="28"/>
      <c r="S185"/>
      <c r="T185"/>
    </row>
    <row r="186" spans="2:20" ht="13.5" customHeight="1" x14ac:dyDescent="0.3">
      <c r="B186" s="14" t="s">
        <v>23</v>
      </c>
      <c r="C186" s="15">
        <v>1</v>
      </c>
      <c r="D186" s="16" t="s">
        <v>804</v>
      </c>
      <c r="E186" s="14">
        <v>2009</v>
      </c>
      <c r="F186" s="14" t="s">
        <v>25</v>
      </c>
      <c r="G186" s="14" t="s">
        <v>38</v>
      </c>
      <c r="H186" s="14" t="s">
        <v>805</v>
      </c>
      <c r="I186" s="17" t="s">
        <v>806</v>
      </c>
      <c r="J186" s="18">
        <v>28</v>
      </c>
      <c r="K186" s="19" t="s">
        <v>24</v>
      </c>
      <c r="L186" s="25" t="s">
        <v>645</v>
      </c>
      <c r="M186" s="16" t="s">
        <v>966</v>
      </c>
      <c r="N186" s="15">
        <v>439</v>
      </c>
      <c r="O186" s="28"/>
      <c r="S186"/>
      <c r="T186"/>
    </row>
    <row r="187" spans="2:20" ht="13.5" customHeight="1" x14ac:dyDescent="0.3">
      <c r="B187" s="14" t="s">
        <v>23</v>
      </c>
      <c r="C187" s="15">
        <v>1</v>
      </c>
      <c r="D187" s="16" t="s">
        <v>234</v>
      </c>
      <c r="E187" s="14">
        <v>2009</v>
      </c>
      <c r="F187" s="14" t="s">
        <v>25</v>
      </c>
      <c r="G187" s="14" t="s">
        <v>38</v>
      </c>
      <c r="H187" s="14" t="s">
        <v>140</v>
      </c>
      <c r="I187" s="17" t="s">
        <v>141</v>
      </c>
      <c r="J187" s="18">
        <v>14</v>
      </c>
      <c r="K187" s="19" t="s">
        <v>24</v>
      </c>
      <c r="L187" s="25" t="s">
        <v>645</v>
      </c>
      <c r="M187" s="16" t="s">
        <v>280</v>
      </c>
      <c r="N187" s="15">
        <v>782</v>
      </c>
      <c r="O187" s="28"/>
      <c r="S187"/>
      <c r="T187"/>
    </row>
    <row r="188" spans="2:20" ht="13.5" customHeight="1" x14ac:dyDescent="0.3">
      <c r="B188" s="14" t="s">
        <v>23</v>
      </c>
      <c r="C188" s="15">
        <v>1</v>
      </c>
      <c r="D188" s="16" t="s">
        <v>807</v>
      </c>
      <c r="E188" s="14">
        <v>2007</v>
      </c>
      <c r="F188" s="14" t="s">
        <v>25</v>
      </c>
      <c r="G188" s="14" t="s">
        <v>47</v>
      </c>
      <c r="H188" s="14" t="s">
        <v>808</v>
      </c>
      <c r="I188" s="17" t="s">
        <v>809</v>
      </c>
      <c r="J188" s="18">
        <v>15</v>
      </c>
      <c r="K188" s="19" t="s">
        <v>24</v>
      </c>
      <c r="L188" s="25" t="s">
        <v>640</v>
      </c>
      <c r="M188" s="16" t="s">
        <v>281</v>
      </c>
      <c r="N188" s="15">
        <v>619</v>
      </c>
      <c r="O188" s="28"/>
      <c r="S188"/>
      <c r="T188"/>
    </row>
    <row r="189" spans="2:20" ht="13.5" customHeight="1" x14ac:dyDescent="0.3">
      <c r="B189" s="14" t="s">
        <v>23</v>
      </c>
      <c r="C189" s="15">
        <v>1</v>
      </c>
      <c r="D189" s="16" t="s">
        <v>59</v>
      </c>
      <c r="E189" s="14">
        <v>2014</v>
      </c>
      <c r="F189" s="14" t="s">
        <v>25</v>
      </c>
      <c r="G189" s="14" t="s">
        <v>57</v>
      </c>
      <c r="H189" s="14" t="s">
        <v>60</v>
      </c>
      <c r="I189" s="17" t="s">
        <v>61</v>
      </c>
      <c r="J189" s="18">
        <v>12</v>
      </c>
      <c r="K189" s="19" t="s">
        <v>24</v>
      </c>
      <c r="L189" s="25" t="s">
        <v>640</v>
      </c>
      <c r="M189" s="16" t="s">
        <v>71</v>
      </c>
      <c r="N189" s="15">
        <v>539</v>
      </c>
      <c r="O189" s="28"/>
      <c r="S189"/>
      <c r="T189"/>
    </row>
    <row r="190" spans="2:20" ht="13.5" customHeight="1" x14ac:dyDescent="0.3">
      <c r="B190" s="14" t="s">
        <v>23</v>
      </c>
      <c r="C190" s="15">
        <v>1</v>
      </c>
      <c r="D190" s="16" t="s">
        <v>405</v>
      </c>
      <c r="E190" s="14">
        <v>2011</v>
      </c>
      <c r="F190" s="14" t="s">
        <v>25</v>
      </c>
      <c r="G190" s="14" t="s">
        <v>122</v>
      </c>
      <c r="H190" s="14" t="s">
        <v>406</v>
      </c>
      <c r="I190" s="17" t="s">
        <v>406</v>
      </c>
      <c r="J190" s="18">
        <v>48</v>
      </c>
      <c r="K190" s="19" t="s">
        <v>24</v>
      </c>
      <c r="L190" s="25" t="s">
        <v>640</v>
      </c>
      <c r="M190" s="16" t="s">
        <v>490</v>
      </c>
      <c r="N190" s="15">
        <v>1819</v>
      </c>
      <c r="O190" s="28"/>
      <c r="S190"/>
      <c r="T190"/>
    </row>
    <row r="191" spans="2:20" ht="13.5" customHeight="1" x14ac:dyDescent="0.3">
      <c r="B191" s="14" t="s">
        <v>23</v>
      </c>
      <c r="C191" s="20">
        <v>1</v>
      </c>
      <c r="D191" s="16" t="s">
        <v>235</v>
      </c>
      <c r="E191" s="14">
        <v>2016</v>
      </c>
      <c r="F191" s="14" t="s">
        <v>25</v>
      </c>
      <c r="G191" s="14" t="s">
        <v>146</v>
      </c>
      <c r="H191" s="14" t="s">
        <v>231</v>
      </c>
      <c r="I191" s="17" t="s">
        <v>150</v>
      </c>
      <c r="J191" s="18">
        <v>45</v>
      </c>
      <c r="K191" s="19" t="s">
        <v>24</v>
      </c>
      <c r="L191" s="25" t="s">
        <v>640</v>
      </c>
      <c r="M191" s="16" t="s">
        <v>282</v>
      </c>
      <c r="N191" s="15">
        <v>2134</v>
      </c>
      <c r="O191" s="28"/>
      <c r="S191"/>
      <c r="T191"/>
    </row>
    <row r="192" spans="2:20" ht="13.5" customHeight="1" x14ac:dyDescent="0.3">
      <c r="B192" s="14" t="s">
        <v>23</v>
      </c>
      <c r="C192" s="20">
        <v>1</v>
      </c>
      <c r="D192" s="16" t="s">
        <v>236</v>
      </c>
      <c r="E192" s="14">
        <v>1992</v>
      </c>
      <c r="F192" s="14" t="s">
        <v>25</v>
      </c>
      <c r="G192" s="14" t="s">
        <v>146</v>
      </c>
      <c r="H192" s="14" t="s">
        <v>147</v>
      </c>
      <c r="I192" s="17" t="s">
        <v>147</v>
      </c>
      <c r="J192" s="18">
        <v>22</v>
      </c>
      <c r="K192" s="19" t="s">
        <v>24</v>
      </c>
      <c r="L192" s="25" t="s">
        <v>640</v>
      </c>
      <c r="M192" s="16" t="s">
        <v>283</v>
      </c>
      <c r="N192" s="15">
        <v>1840</v>
      </c>
      <c r="O192" s="28"/>
      <c r="S192"/>
      <c r="T192"/>
    </row>
    <row r="193" spans="2:20" ht="13.5" customHeight="1" x14ac:dyDescent="0.3">
      <c r="B193" s="14" t="s">
        <v>27</v>
      </c>
      <c r="C193" s="20">
        <v>1</v>
      </c>
      <c r="D193" s="16" t="s">
        <v>810</v>
      </c>
      <c r="E193" s="14">
        <v>2017</v>
      </c>
      <c r="F193" s="14" t="s">
        <v>25</v>
      </c>
      <c r="G193" s="14" t="s">
        <v>57</v>
      </c>
      <c r="H193" s="14" t="s">
        <v>811</v>
      </c>
      <c r="I193" s="17" t="s">
        <v>811</v>
      </c>
      <c r="J193" s="18">
        <v>6</v>
      </c>
      <c r="K193" s="19" t="s">
        <v>24</v>
      </c>
      <c r="L193" s="25" t="s">
        <v>640</v>
      </c>
      <c r="M193" s="16" t="s">
        <v>209</v>
      </c>
      <c r="N193" s="15">
        <v>368</v>
      </c>
      <c r="O193" s="28"/>
      <c r="S193"/>
      <c r="T193"/>
    </row>
    <row r="194" spans="2:20" ht="13.5" customHeight="1" x14ac:dyDescent="0.3">
      <c r="B194" s="14" t="s">
        <v>23</v>
      </c>
      <c r="C194" s="20">
        <v>1</v>
      </c>
      <c r="D194" s="16" t="s">
        <v>812</v>
      </c>
      <c r="E194" s="14">
        <v>2020</v>
      </c>
      <c r="F194" s="14" t="s">
        <v>25</v>
      </c>
      <c r="G194" s="14" t="s">
        <v>47</v>
      </c>
      <c r="H194" s="14" t="s">
        <v>813</v>
      </c>
      <c r="I194" s="17" t="s">
        <v>813</v>
      </c>
      <c r="J194" s="18">
        <v>26</v>
      </c>
      <c r="K194" s="19" t="s">
        <v>24</v>
      </c>
      <c r="L194" s="25" t="s">
        <v>640</v>
      </c>
      <c r="M194" s="16" t="s">
        <v>967</v>
      </c>
      <c r="N194" s="15">
        <v>792</v>
      </c>
      <c r="O194" s="28"/>
      <c r="S194"/>
      <c r="T194"/>
    </row>
    <row r="195" spans="2:20" ht="13.5" customHeight="1" x14ac:dyDescent="0.3">
      <c r="B195" s="14" t="s">
        <v>23</v>
      </c>
      <c r="C195" s="20">
        <v>1</v>
      </c>
      <c r="D195" s="16" t="s">
        <v>164</v>
      </c>
      <c r="E195" s="14">
        <v>2020</v>
      </c>
      <c r="F195" s="14" t="s">
        <v>25</v>
      </c>
      <c r="G195" s="14" t="s">
        <v>38</v>
      </c>
      <c r="H195" s="14" t="s">
        <v>28</v>
      </c>
      <c r="I195" s="17" t="s">
        <v>28</v>
      </c>
      <c r="J195" s="18">
        <v>13</v>
      </c>
      <c r="K195" s="19" t="s">
        <v>24</v>
      </c>
      <c r="L195" s="25" t="s">
        <v>645</v>
      </c>
      <c r="M195" s="16" t="s">
        <v>210</v>
      </c>
      <c r="N195" s="15">
        <v>745</v>
      </c>
      <c r="O195" s="28"/>
      <c r="S195"/>
      <c r="T195"/>
    </row>
    <row r="196" spans="2:20" ht="13.5" customHeight="1" x14ac:dyDescent="0.3">
      <c r="B196" s="14" t="s">
        <v>23</v>
      </c>
      <c r="C196" s="20">
        <v>1</v>
      </c>
      <c r="D196" s="16" t="s">
        <v>407</v>
      </c>
      <c r="E196" s="14">
        <v>2021</v>
      </c>
      <c r="F196" s="14" t="s">
        <v>25</v>
      </c>
      <c r="G196" s="14" t="s">
        <v>93</v>
      </c>
      <c r="H196" s="14" t="s">
        <v>244</v>
      </c>
      <c r="I196" s="17" t="s">
        <v>244</v>
      </c>
      <c r="J196" s="18">
        <v>10</v>
      </c>
      <c r="K196" s="19" t="s">
        <v>24</v>
      </c>
      <c r="L196" s="25" t="s">
        <v>640</v>
      </c>
      <c r="M196" s="16" t="s">
        <v>491</v>
      </c>
      <c r="N196" s="15">
        <v>431</v>
      </c>
      <c r="O196" s="28"/>
      <c r="S196"/>
      <c r="T196"/>
    </row>
    <row r="197" spans="2:20" ht="13.5" customHeight="1" x14ac:dyDescent="0.3">
      <c r="B197" s="14" t="s">
        <v>23</v>
      </c>
      <c r="C197" s="20">
        <v>1</v>
      </c>
      <c r="D197" s="16" t="s">
        <v>408</v>
      </c>
      <c r="E197" s="14">
        <v>2020</v>
      </c>
      <c r="F197" s="14" t="s">
        <v>25</v>
      </c>
      <c r="G197" s="14" t="s">
        <v>38</v>
      </c>
      <c r="H197" s="14" t="s">
        <v>409</v>
      </c>
      <c r="I197" s="17" t="s">
        <v>409</v>
      </c>
      <c r="J197" s="18">
        <v>17</v>
      </c>
      <c r="K197" s="19" t="s">
        <v>24</v>
      </c>
      <c r="L197" s="25" t="s">
        <v>640</v>
      </c>
      <c r="M197" s="16" t="s">
        <v>492</v>
      </c>
      <c r="N197" s="15">
        <v>709</v>
      </c>
      <c r="O197" s="28"/>
      <c r="S197"/>
      <c r="T197"/>
    </row>
    <row r="198" spans="2:20" ht="13.5" customHeight="1" x14ac:dyDescent="0.3">
      <c r="B198" s="14" t="s">
        <v>814</v>
      </c>
      <c r="C198" s="20">
        <v>1</v>
      </c>
      <c r="D198" s="16" t="s">
        <v>815</v>
      </c>
      <c r="E198" s="14">
        <v>2006</v>
      </c>
      <c r="F198" s="14" t="s">
        <v>25</v>
      </c>
      <c r="G198" s="14" t="s">
        <v>47</v>
      </c>
      <c r="H198" s="14" t="s">
        <v>136</v>
      </c>
      <c r="I198" s="17" t="s">
        <v>136</v>
      </c>
      <c r="J198" s="18">
        <v>5</v>
      </c>
      <c r="K198" s="19" t="s">
        <v>24</v>
      </c>
      <c r="L198" s="25" t="s">
        <v>640</v>
      </c>
      <c r="M198" s="16" t="s">
        <v>968</v>
      </c>
      <c r="N198" s="15">
        <v>366</v>
      </c>
      <c r="O198" s="28"/>
      <c r="S198"/>
      <c r="T198"/>
    </row>
    <row r="199" spans="2:20" ht="13.5" customHeight="1" x14ac:dyDescent="0.3">
      <c r="B199" s="14" t="s">
        <v>27</v>
      </c>
      <c r="C199" s="20">
        <v>1</v>
      </c>
      <c r="D199" s="16" t="s">
        <v>165</v>
      </c>
      <c r="E199" s="14">
        <v>2010</v>
      </c>
      <c r="F199" s="14" t="s">
        <v>25</v>
      </c>
      <c r="G199" s="14" t="s">
        <v>57</v>
      </c>
      <c r="H199" s="14" t="s">
        <v>142</v>
      </c>
      <c r="I199" s="17" t="s">
        <v>142</v>
      </c>
      <c r="J199" s="18">
        <v>21</v>
      </c>
      <c r="K199" s="19" t="s">
        <v>24</v>
      </c>
      <c r="L199" s="25" t="s">
        <v>640</v>
      </c>
      <c r="M199" s="16" t="s">
        <v>211</v>
      </c>
      <c r="N199" s="15">
        <v>1640</v>
      </c>
      <c r="O199" s="28"/>
      <c r="S199"/>
      <c r="T199"/>
    </row>
    <row r="200" spans="2:20" ht="13.5" customHeight="1" x14ac:dyDescent="0.3">
      <c r="B200" s="14" t="s">
        <v>23</v>
      </c>
      <c r="C200" s="20">
        <v>1</v>
      </c>
      <c r="D200" s="16" t="s">
        <v>166</v>
      </c>
      <c r="E200" s="14">
        <v>1998</v>
      </c>
      <c r="F200" s="14" t="s">
        <v>25</v>
      </c>
      <c r="G200" s="14" t="s">
        <v>38</v>
      </c>
      <c r="H200" s="14" t="s">
        <v>39</v>
      </c>
      <c r="I200" s="17" t="s">
        <v>39</v>
      </c>
      <c r="J200" s="18">
        <v>19</v>
      </c>
      <c r="K200" s="19" t="s">
        <v>24</v>
      </c>
      <c r="L200" s="25" t="s">
        <v>645</v>
      </c>
      <c r="M200" s="16" t="s">
        <v>212</v>
      </c>
      <c r="N200" s="15">
        <v>719</v>
      </c>
      <c r="O200" s="28"/>
      <c r="S200"/>
      <c r="T200"/>
    </row>
    <row r="201" spans="2:20" ht="13.5" customHeight="1" x14ac:dyDescent="0.3">
      <c r="B201" s="14" t="s">
        <v>23</v>
      </c>
      <c r="C201" s="20">
        <v>1</v>
      </c>
      <c r="D201" s="16" t="s">
        <v>816</v>
      </c>
      <c r="E201" s="14">
        <v>2017</v>
      </c>
      <c r="F201" s="14" t="s">
        <v>25</v>
      </c>
      <c r="G201" s="14" t="s">
        <v>38</v>
      </c>
      <c r="H201" s="14" t="s">
        <v>817</v>
      </c>
      <c r="I201" s="17" t="s">
        <v>817</v>
      </c>
      <c r="J201" s="18">
        <v>22</v>
      </c>
      <c r="K201" s="19" t="s">
        <v>24</v>
      </c>
      <c r="L201" s="25" t="s">
        <v>640</v>
      </c>
      <c r="M201" s="16" t="s">
        <v>969</v>
      </c>
      <c r="N201" s="15">
        <v>1032</v>
      </c>
      <c r="O201" s="28"/>
      <c r="S201"/>
      <c r="T201"/>
    </row>
    <row r="202" spans="2:20" ht="13.5" customHeight="1" x14ac:dyDescent="0.3">
      <c r="B202" s="14" t="s">
        <v>23</v>
      </c>
      <c r="C202" s="20">
        <v>1</v>
      </c>
      <c r="D202" s="16" t="s">
        <v>818</v>
      </c>
      <c r="E202" s="14">
        <v>1997</v>
      </c>
      <c r="F202" s="14" t="s">
        <v>25</v>
      </c>
      <c r="G202" s="14" t="s">
        <v>28</v>
      </c>
      <c r="H202" s="14" t="s">
        <v>819</v>
      </c>
      <c r="I202" s="17" t="s">
        <v>819</v>
      </c>
      <c r="J202" s="18">
        <v>24</v>
      </c>
      <c r="K202" s="19" t="s">
        <v>24</v>
      </c>
      <c r="L202" s="25" t="s">
        <v>640</v>
      </c>
      <c r="M202" s="16" t="s">
        <v>955</v>
      </c>
      <c r="N202" s="15">
        <v>1147</v>
      </c>
      <c r="O202" s="28"/>
      <c r="S202"/>
      <c r="T202"/>
    </row>
    <row r="203" spans="2:20" ht="13.5" customHeight="1" x14ac:dyDescent="0.3">
      <c r="B203" s="14" t="s">
        <v>23</v>
      </c>
      <c r="C203" s="20">
        <v>1</v>
      </c>
      <c r="D203" s="16" t="s">
        <v>237</v>
      </c>
      <c r="E203" s="14">
        <v>2016</v>
      </c>
      <c r="F203" s="14" t="s">
        <v>25</v>
      </c>
      <c r="G203" s="14" t="s">
        <v>38</v>
      </c>
      <c r="H203" s="14" t="s">
        <v>125</v>
      </c>
      <c r="I203" s="17" t="s">
        <v>125</v>
      </c>
      <c r="J203" s="18">
        <v>12</v>
      </c>
      <c r="K203" s="19" t="s">
        <v>24</v>
      </c>
      <c r="L203" s="25" t="s">
        <v>645</v>
      </c>
      <c r="M203" s="16" t="s">
        <v>284</v>
      </c>
      <c r="N203" s="15">
        <v>588</v>
      </c>
      <c r="O203" s="28"/>
      <c r="S203"/>
      <c r="T203"/>
    </row>
    <row r="204" spans="2:20" ht="13.5" customHeight="1" x14ac:dyDescent="0.3">
      <c r="B204" s="14" t="s">
        <v>23</v>
      </c>
      <c r="C204" s="20">
        <v>1</v>
      </c>
      <c r="D204" s="16" t="s">
        <v>167</v>
      </c>
      <c r="E204" s="14">
        <v>2016</v>
      </c>
      <c r="F204" s="14" t="s">
        <v>25</v>
      </c>
      <c r="G204" s="14" t="s">
        <v>146</v>
      </c>
      <c r="H204" s="14" t="s">
        <v>168</v>
      </c>
      <c r="I204" s="17" t="s">
        <v>168</v>
      </c>
      <c r="J204" s="18">
        <v>30</v>
      </c>
      <c r="K204" s="19" t="s">
        <v>24</v>
      </c>
      <c r="L204" s="25" t="s">
        <v>645</v>
      </c>
      <c r="M204" s="16" t="s">
        <v>213</v>
      </c>
      <c r="N204" s="15">
        <v>1533</v>
      </c>
      <c r="O204" s="28"/>
      <c r="S204"/>
      <c r="T204"/>
    </row>
    <row r="205" spans="2:20" ht="13.5" customHeight="1" x14ac:dyDescent="0.3">
      <c r="B205" s="14" t="s">
        <v>23</v>
      </c>
      <c r="C205" s="20">
        <v>1</v>
      </c>
      <c r="D205" s="16" t="s">
        <v>820</v>
      </c>
      <c r="E205" s="14">
        <v>2005</v>
      </c>
      <c r="F205" s="14" t="s">
        <v>25</v>
      </c>
      <c r="G205" s="14" t="s">
        <v>146</v>
      </c>
      <c r="H205" s="14" t="s">
        <v>150</v>
      </c>
      <c r="I205" s="17" t="s">
        <v>150</v>
      </c>
      <c r="J205" s="18">
        <v>10</v>
      </c>
      <c r="K205" s="19" t="s">
        <v>24</v>
      </c>
      <c r="L205" s="25" t="s">
        <v>640</v>
      </c>
      <c r="M205" s="16" t="s">
        <v>970</v>
      </c>
      <c r="N205" s="15">
        <v>446</v>
      </c>
      <c r="O205" s="28"/>
      <c r="S205"/>
      <c r="T205"/>
    </row>
    <row r="206" spans="2:20" ht="13.5" customHeight="1" x14ac:dyDescent="0.3">
      <c r="B206" s="14" t="s">
        <v>23</v>
      </c>
      <c r="C206" s="20">
        <v>1</v>
      </c>
      <c r="D206" s="16" t="s">
        <v>410</v>
      </c>
      <c r="E206" s="14">
        <v>2009</v>
      </c>
      <c r="F206" s="14" t="s">
        <v>25</v>
      </c>
      <c r="G206" s="14" t="s">
        <v>146</v>
      </c>
      <c r="H206" s="14" t="s">
        <v>147</v>
      </c>
      <c r="I206" s="17" t="s">
        <v>147</v>
      </c>
      <c r="J206" s="18">
        <v>26</v>
      </c>
      <c r="K206" s="19" t="s">
        <v>24</v>
      </c>
      <c r="L206" s="25" t="s">
        <v>648</v>
      </c>
      <c r="M206" s="16">
        <v>32</v>
      </c>
      <c r="N206" s="15">
        <v>1392</v>
      </c>
      <c r="O206" s="28"/>
      <c r="S206"/>
      <c r="T206"/>
    </row>
    <row r="207" spans="2:20" ht="13.5" customHeight="1" x14ac:dyDescent="0.3">
      <c r="B207" s="14" t="s">
        <v>23</v>
      </c>
      <c r="C207" s="20">
        <v>1</v>
      </c>
      <c r="D207" s="16" t="s">
        <v>169</v>
      </c>
      <c r="E207" s="14">
        <v>2022</v>
      </c>
      <c r="F207" s="14" t="s">
        <v>25</v>
      </c>
      <c r="G207" s="14" t="s">
        <v>38</v>
      </c>
      <c r="H207" s="14" t="s">
        <v>39</v>
      </c>
      <c r="I207" s="17" t="s">
        <v>39</v>
      </c>
      <c r="J207" s="18">
        <v>4</v>
      </c>
      <c r="K207" s="19" t="s">
        <v>24</v>
      </c>
      <c r="L207" s="25" t="s">
        <v>648</v>
      </c>
      <c r="M207" s="16" t="s">
        <v>214</v>
      </c>
      <c r="N207" s="15">
        <v>202</v>
      </c>
      <c r="O207" s="28"/>
      <c r="S207"/>
      <c r="T207"/>
    </row>
    <row r="208" spans="2:20" ht="13.5" customHeight="1" x14ac:dyDescent="0.3">
      <c r="B208" s="14" t="s">
        <v>30</v>
      </c>
      <c r="C208" s="20">
        <v>1</v>
      </c>
      <c r="D208" s="16" t="s">
        <v>238</v>
      </c>
      <c r="E208" s="14">
        <v>2020</v>
      </c>
      <c r="F208" s="14" t="s">
        <v>25</v>
      </c>
      <c r="G208" s="14" t="s">
        <v>38</v>
      </c>
      <c r="H208" s="14" t="s">
        <v>39</v>
      </c>
      <c r="I208" s="17" t="s">
        <v>39</v>
      </c>
      <c r="J208" s="18">
        <v>3</v>
      </c>
      <c r="K208" s="19" t="s">
        <v>24</v>
      </c>
      <c r="L208" s="25" t="s">
        <v>645</v>
      </c>
      <c r="M208" s="16" t="s">
        <v>214</v>
      </c>
      <c r="N208" s="15">
        <v>108</v>
      </c>
      <c r="O208" s="28"/>
      <c r="S208"/>
      <c r="T208"/>
    </row>
    <row r="209" spans="2:20" ht="13.5" customHeight="1" x14ac:dyDescent="0.3">
      <c r="B209" s="14" t="s">
        <v>23</v>
      </c>
      <c r="C209" s="20">
        <v>1</v>
      </c>
      <c r="D209" s="16" t="s">
        <v>239</v>
      </c>
      <c r="E209" s="14">
        <v>2016</v>
      </c>
      <c r="F209" s="14" t="s">
        <v>25</v>
      </c>
      <c r="G209" s="14" t="s">
        <v>57</v>
      </c>
      <c r="H209" s="14" t="s">
        <v>240</v>
      </c>
      <c r="I209" s="17" t="s">
        <v>240</v>
      </c>
      <c r="J209" s="18">
        <v>12</v>
      </c>
      <c r="K209" s="19" t="s">
        <v>24</v>
      </c>
      <c r="L209" s="25" t="s">
        <v>640</v>
      </c>
      <c r="M209" s="16" t="s">
        <v>285</v>
      </c>
      <c r="N209" s="15">
        <v>820</v>
      </c>
      <c r="O209" s="28"/>
      <c r="S209"/>
      <c r="T209"/>
    </row>
    <row r="210" spans="2:20" ht="13.5" customHeight="1" x14ac:dyDescent="0.3">
      <c r="B210" s="14" t="s">
        <v>23</v>
      </c>
      <c r="C210" s="20">
        <v>1</v>
      </c>
      <c r="D210" s="16" t="s">
        <v>821</v>
      </c>
      <c r="E210" s="14">
        <v>2005</v>
      </c>
      <c r="F210" s="14" t="s">
        <v>25</v>
      </c>
      <c r="G210" s="14" t="s">
        <v>28</v>
      </c>
      <c r="H210" s="14" t="s">
        <v>62</v>
      </c>
      <c r="I210" s="17" t="s">
        <v>62</v>
      </c>
      <c r="J210" s="18">
        <v>11</v>
      </c>
      <c r="K210" s="19" t="s">
        <v>24</v>
      </c>
      <c r="L210" s="25" t="s">
        <v>640</v>
      </c>
      <c r="M210" s="16" t="s">
        <v>971</v>
      </c>
      <c r="N210" s="15">
        <v>427</v>
      </c>
      <c r="O210" s="28"/>
      <c r="S210"/>
      <c r="T210"/>
    </row>
    <row r="211" spans="2:20" ht="13.5" customHeight="1" x14ac:dyDescent="0.3">
      <c r="B211" s="14" t="s">
        <v>23</v>
      </c>
      <c r="C211" s="20">
        <v>1</v>
      </c>
      <c r="D211" s="16" t="s">
        <v>822</v>
      </c>
      <c r="E211" s="14">
        <v>1999</v>
      </c>
      <c r="F211" s="14" t="s">
        <v>25</v>
      </c>
      <c r="G211" s="14" t="s">
        <v>57</v>
      </c>
      <c r="H211" s="14" t="s">
        <v>823</v>
      </c>
      <c r="I211" s="17" t="s">
        <v>823</v>
      </c>
      <c r="J211" s="18">
        <v>17</v>
      </c>
      <c r="K211" s="19" t="s">
        <v>24</v>
      </c>
      <c r="L211" s="25" t="s">
        <v>640</v>
      </c>
      <c r="M211" s="16" t="s">
        <v>972</v>
      </c>
      <c r="N211" s="15">
        <v>682</v>
      </c>
      <c r="O211" s="28"/>
      <c r="S211"/>
      <c r="T211"/>
    </row>
    <row r="212" spans="2:20" ht="13.5" customHeight="1" x14ac:dyDescent="0.3">
      <c r="B212" s="14" t="s">
        <v>23</v>
      </c>
      <c r="C212" s="20">
        <v>1</v>
      </c>
      <c r="D212" s="16" t="s">
        <v>824</v>
      </c>
      <c r="E212" s="14">
        <v>2015</v>
      </c>
      <c r="F212" s="14" t="s">
        <v>25</v>
      </c>
      <c r="G212" s="14" t="s">
        <v>38</v>
      </c>
      <c r="H212" s="14" t="s">
        <v>40</v>
      </c>
      <c r="I212" s="17" t="s">
        <v>40</v>
      </c>
      <c r="J212" s="18">
        <v>6</v>
      </c>
      <c r="K212" s="19" t="s">
        <v>24</v>
      </c>
      <c r="L212" s="25" t="s">
        <v>640</v>
      </c>
      <c r="M212" s="16" t="s">
        <v>973</v>
      </c>
      <c r="N212" s="15">
        <v>195</v>
      </c>
      <c r="O212" s="28"/>
      <c r="S212"/>
      <c r="T212"/>
    </row>
    <row r="213" spans="2:20" ht="13.5" customHeight="1" x14ac:dyDescent="0.3">
      <c r="B213" s="14" t="s">
        <v>23</v>
      </c>
      <c r="C213" s="20">
        <v>1</v>
      </c>
      <c r="D213" s="16" t="s">
        <v>825</v>
      </c>
      <c r="E213" s="14">
        <v>2006</v>
      </c>
      <c r="F213" s="14" t="s">
        <v>25</v>
      </c>
      <c r="G213" s="14" t="s">
        <v>38</v>
      </c>
      <c r="H213" s="14" t="s">
        <v>39</v>
      </c>
      <c r="I213" s="17" t="s">
        <v>39</v>
      </c>
      <c r="J213" s="18">
        <v>5</v>
      </c>
      <c r="K213" s="19" t="s">
        <v>24</v>
      </c>
      <c r="L213" s="25" t="s">
        <v>640</v>
      </c>
      <c r="M213" s="16">
        <v>33</v>
      </c>
      <c r="N213" s="15">
        <v>160</v>
      </c>
      <c r="O213" s="28"/>
      <c r="S213"/>
      <c r="T213"/>
    </row>
    <row r="214" spans="2:20" ht="13.5" customHeight="1" x14ac:dyDescent="0.3">
      <c r="B214" s="14" t="s">
        <v>23</v>
      </c>
      <c r="C214" s="20">
        <v>1</v>
      </c>
      <c r="D214" s="16" t="s">
        <v>321</v>
      </c>
      <c r="E214" s="14">
        <v>2022</v>
      </c>
      <c r="F214" s="14" t="s">
        <v>25</v>
      </c>
      <c r="G214" s="14" t="s">
        <v>47</v>
      </c>
      <c r="H214" s="14" t="s">
        <v>322</v>
      </c>
      <c r="I214" s="17" t="s">
        <v>322</v>
      </c>
      <c r="J214" s="18">
        <v>5</v>
      </c>
      <c r="K214" s="19" t="s">
        <v>24</v>
      </c>
      <c r="L214" s="25" t="s">
        <v>640</v>
      </c>
      <c r="M214" s="16" t="s">
        <v>343</v>
      </c>
      <c r="N214" s="15">
        <v>130</v>
      </c>
      <c r="O214" s="28"/>
      <c r="S214"/>
      <c r="T214"/>
    </row>
    <row r="215" spans="2:20" ht="13.5" customHeight="1" x14ac:dyDescent="0.3">
      <c r="B215" s="14" t="s">
        <v>23</v>
      </c>
      <c r="C215" s="20">
        <v>1</v>
      </c>
      <c r="D215" s="16" t="s">
        <v>826</v>
      </c>
      <c r="E215" s="14" t="s">
        <v>63</v>
      </c>
      <c r="F215" s="14" t="s">
        <v>25</v>
      </c>
      <c r="G215" s="14" t="s">
        <v>38</v>
      </c>
      <c r="H215" s="14" t="s">
        <v>827</v>
      </c>
      <c r="I215" s="17" t="s">
        <v>827</v>
      </c>
      <c r="J215" s="18">
        <v>18</v>
      </c>
      <c r="K215" s="19" t="s">
        <v>24</v>
      </c>
      <c r="L215" s="25" t="s">
        <v>640</v>
      </c>
      <c r="M215" s="16" t="s">
        <v>974</v>
      </c>
      <c r="N215" s="15">
        <v>510</v>
      </c>
      <c r="O215" s="28"/>
      <c r="S215"/>
      <c r="T215"/>
    </row>
    <row r="216" spans="2:20" ht="13.5" customHeight="1" x14ac:dyDescent="0.3">
      <c r="B216" s="14" t="s">
        <v>23</v>
      </c>
      <c r="C216" s="20">
        <v>1</v>
      </c>
      <c r="D216" s="16" t="s">
        <v>241</v>
      </c>
      <c r="E216" s="14">
        <v>2013</v>
      </c>
      <c r="F216" s="14" t="s">
        <v>25</v>
      </c>
      <c r="G216" s="14" t="s">
        <v>38</v>
      </c>
      <c r="H216" s="14" t="s">
        <v>157</v>
      </c>
      <c r="I216" s="17" t="s">
        <v>157</v>
      </c>
      <c r="J216" s="18">
        <v>13</v>
      </c>
      <c r="K216" s="19" t="s">
        <v>24</v>
      </c>
      <c r="L216" s="25" t="s">
        <v>645</v>
      </c>
      <c r="M216" s="16" t="s">
        <v>287</v>
      </c>
      <c r="N216" s="15">
        <v>488</v>
      </c>
      <c r="O216" s="28"/>
      <c r="S216"/>
      <c r="T216"/>
    </row>
    <row r="217" spans="2:20" ht="13.5" customHeight="1" x14ac:dyDescent="0.3">
      <c r="B217" s="14" t="s">
        <v>23</v>
      </c>
      <c r="C217" s="20">
        <v>1</v>
      </c>
      <c r="D217" s="16" t="s">
        <v>64</v>
      </c>
      <c r="E217" s="14">
        <v>1993</v>
      </c>
      <c r="F217" s="14" t="s">
        <v>25</v>
      </c>
      <c r="G217" s="14" t="s">
        <v>28</v>
      </c>
      <c r="H217" s="14" t="s">
        <v>62</v>
      </c>
      <c r="I217" s="17" t="s">
        <v>62</v>
      </c>
      <c r="J217" s="18">
        <v>20</v>
      </c>
      <c r="K217" s="19" t="s">
        <v>24</v>
      </c>
      <c r="L217" s="25" t="s">
        <v>648</v>
      </c>
      <c r="M217" s="16" t="s">
        <v>72</v>
      </c>
      <c r="N217" s="15">
        <v>946</v>
      </c>
      <c r="O217" s="28"/>
      <c r="S217"/>
      <c r="T217"/>
    </row>
    <row r="218" spans="2:20" ht="13.5" customHeight="1" x14ac:dyDescent="0.3">
      <c r="B218" s="14" t="s">
        <v>23</v>
      </c>
      <c r="C218" s="20">
        <v>1</v>
      </c>
      <c r="D218" s="16" t="s">
        <v>828</v>
      </c>
      <c r="E218" s="14">
        <v>2015</v>
      </c>
      <c r="F218" s="14" t="s">
        <v>25</v>
      </c>
      <c r="G218" s="14" t="s">
        <v>28</v>
      </c>
      <c r="H218" s="14" t="s">
        <v>829</v>
      </c>
      <c r="I218" s="17" t="s">
        <v>829</v>
      </c>
      <c r="J218" s="18">
        <v>5</v>
      </c>
      <c r="K218" s="19" t="s">
        <v>24</v>
      </c>
      <c r="L218" s="25" t="s">
        <v>640</v>
      </c>
      <c r="M218" s="16" t="s">
        <v>225</v>
      </c>
      <c r="N218" s="15">
        <v>144</v>
      </c>
      <c r="O218" s="28"/>
      <c r="S218"/>
      <c r="T218"/>
    </row>
    <row r="219" spans="2:20" ht="13.5" customHeight="1" x14ac:dyDescent="0.3">
      <c r="B219" s="14" t="s">
        <v>23</v>
      </c>
      <c r="C219" s="20">
        <v>1</v>
      </c>
      <c r="D219" s="16" t="s">
        <v>830</v>
      </c>
      <c r="E219" s="14">
        <v>2022</v>
      </c>
      <c r="F219" s="14" t="s">
        <v>25</v>
      </c>
      <c r="G219" s="14" t="s">
        <v>57</v>
      </c>
      <c r="H219" s="14" t="s">
        <v>831</v>
      </c>
      <c r="I219" s="17" t="s">
        <v>831</v>
      </c>
      <c r="J219" s="18">
        <v>19</v>
      </c>
      <c r="K219" s="19" t="s">
        <v>24</v>
      </c>
      <c r="L219" s="25" t="s">
        <v>640</v>
      </c>
      <c r="M219" s="16" t="s">
        <v>975</v>
      </c>
      <c r="N219" s="15">
        <v>627</v>
      </c>
      <c r="O219" s="28"/>
      <c r="S219"/>
      <c r="T219"/>
    </row>
    <row r="220" spans="2:20" ht="13.5" customHeight="1" x14ac:dyDescent="0.3">
      <c r="B220" s="14" t="s">
        <v>23</v>
      </c>
      <c r="C220" s="20">
        <v>1</v>
      </c>
      <c r="D220" s="16" t="s">
        <v>411</v>
      </c>
      <c r="E220" s="14">
        <v>1985</v>
      </c>
      <c r="F220" s="14" t="s">
        <v>25</v>
      </c>
      <c r="G220" s="14" t="s">
        <v>93</v>
      </c>
      <c r="H220" s="14" t="s">
        <v>244</v>
      </c>
      <c r="I220" s="17" t="s">
        <v>244</v>
      </c>
      <c r="J220" s="18">
        <v>3</v>
      </c>
      <c r="K220" s="19" t="s">
        <v>24</v>
      </c>
      <c r="L220" s="25" t="s">
        <v>645</v>
      </c>
      <c r="M220" s="16" t="s">
        <v>195</v>
      </c>
      <c r="N220" s="15">
        <v>128</v>
      </c>
      <c r="O220" s="28"/>
      <c r="S220"/>
      <c r="T220"/>
    </row>
    <row r="221" spans="2:20" ht="13.5" customHeight="1" x14ac:dyDescent="0.3">
      <c r="B221" s="14" t="s">
        <v>23</v>
      </c>
      <c r="C221" s="20">
        <v>1</v>
      </c>
      <c r="D221" s="16" t="s">
        <v>65</v>
      </c>
      <c r="E221" s="14">
        <v>1994</v>
      </c>
      <c r="F221" s="14" t="s">
        <v>25</v>
      </c>
      <c r="G221" s="14" t="s">
        <v>28</v>
      </c>
      <c r="H221" s="14" t="s">
        <v>62</v>
      </c>
      <c r="I221" s="17" t="s">
        <v>62</v>
      </c>
      <c r="J221" s="18">
        <v>24</v>
      </c>
      <c r="K221" s="19" t="s">
        <v>24</v>
      </c>
      <c r="L221" s="25" t="s">
        <v>645</v>
      </c>
      <c r="M221" s="16" t="s">
        <v>73</v>
      </c>
      <c r="N221" s="15">
        <v>947</v>
      </c>
      <c r="O221" s="28"/>
      <c r="S221"/>
      <c r="T221"/>
    </row>
    <row r="222" spans="2:20" ht="13.5" customHeight="1" x14ac:dyDescent="0.3">
      <c r="B222" s="14" t="s">
        <v>23</v>
      </c>
      <c r="C222" s="20">
        <v>1</v>
      </c>
      <c r="D222" s="16" t="s">
        <v>41</v>
      </c>
      <c r="E222" s="14">
        <v>2023</v>
      </c>
      <c r="F222" s="14" t="s">
        <v>25</v>
      </c>
      <c r="G222" s="14" t="s">
        <v>38</v>
      </c>
      <c r="H222" s="14" t="s">
        <v>42</v>
      </c>
      <c r="I222" s="17" t="s">
        <v>42</v>
      </c>
      <c r="J222" s="18">
        <v>20</v>
      </c>
      <c r="K222" s="19" t="s">
        <v>24</v>
      </c>
      <c r="L222" s="25" t="s">
        <v>648</v>
      </c>
      <c r="M222" s="16" t="s">
        <v>43</v>
      </c>
      <c r="N222" s="15">
        <v>802</v>
      </c>
      <c r="O222" s="28"/>
      <c r="S222"/>
      <c r="T222"/>
    </row>
    <row r="223" spans="2:20" ht="13.5" customHeight="1" x14ac:dyDescent="0.3">
      <c r="B223" s="14" t="s">
        <v>23</v>
      </c>
      <c r="C223" s="20">
        <v>1</v>
      </c>
      <c r="D223" s="26" t="s">
        <v>242</v>
      </c>
      <c r="E223" s="14">
        <v>2020</v>
      </c>
      <c r="F223" s="14" t="s">
        <v>25</v>
      </c>
      <c r="G223" s="14" t="s">
        <v>38</v>
      </c>
      <c r="H223" s="14" t="s">
        <v>28</v>
      </c>
      <c r="I223" s="17" t="s">
        <v>28</v>
      </c>
      <c r="J223" s="18">
        <v>9</v>
      </c>
      <c r="K223" s="19" t="s">
        <v>24</v>
      </c>
      <c r="L223" s="25" t="s">
        <v>640</v>
      </c>
      <c r="M223" s="16" t="s">
        <v>133</v>
      </c>
      <c r="N223" s="15">
        <v>266</v>
      </c>
      <c r="O223" s="28"/>
      <c r="S223"/>
      <c r="T223"/>
    </row>
    <row r="224" spans="2:20" ht="13.5" customHeight="1" x14ac:dyDescent="0.3">
      <c r="B224" s="14" t="s">
        <v>23</v>
      </c>
      <c r="C224" s="20">
        <v>1</v>
      </c>
      <c r="D224" s="26" t="s">
        <v>832</v>
      </c>
      <c r="E224" s="14">
        <v>2022</v>
      </c>
      <c r="F224" s="14" t="s">
        <v>25</v>
      </c>
      <c r="G224" s="14" t="s">
        <v>93</v>
      </c>
      <c r="H224" s="14" t="s">
        <v>67</v>
      </c>
      <c r="I224" s="17" t="s">
        <v>244</v>
      </c>
      <c r="J224" s="18">
        <v>17</v>
      </c>
      <c r="K224" s="19" t="s">
        <v>24</v>
      </c>
      <c r="L224" s="25" t="s">
        <v>644</v>
      </c>
      <c r="M224" s="16" t="s">
        <v>976</v>
      </c>
      <c r="N224" s="15">
        <v>622</v>
      </c>
      <c r="O224" s="28"/>
      <c r="S224"/>
      <c r="T224"/>
    </row>
    <row r="225" spans="2:20" ht="13.5" customHeight="1" x14ac:dyDescent="0.3">
      <c r="B225" s="14" t="s">
        <v>23</v>
      </c>
      <c r="C225" s="20">
        <v>1</v>
      </c>
      <c r="D225" s="26" t="s">
        <v>833</v>
      </c>
      <c r="E225" s="14">
        <v>1994</v>
      </c>
      <c r="F225" s="14" t="s">
        <v>25</v>
      </c>
      <c r="G225" s="14" t="s">
        <v>47</v>
      </c>
      <c r="H225" s="14" t="s">
        <v>834</v>
      </c>
      <c r="I225" s="17" t="s">
        <v>808</v>
      </c>
      <c r="J225" s="18">
        <v>12</v>
      </c>
      <c r="K225" s="19" t="s">
        <v>24</v>
      </c>
      <c r="L225" s="25" t="s">
        <v>640</v>
      </c>
      <c r="M225" s="16" t="s">
        <v>288</v>
      </c>
      <c r="N225" s="15">
        <v>588</v>
      </c>
      <c r="O225" s="28"/>
      <c r="S225"/>
      <c r="T225"/>
    </row>
    <row r="226" spans="2:20" ht="13.5" customHeight="1" x14ac:dyDescent="0.3">
      <c r="B226" s="14" t="s">
        <v>23</v>
      </c>
      <c r="C226" s="20">
        <v>1</v>
      </c>
      <c r="D226" s="26" t="s">
        <v>170</v>
      </c>
      <c r="E226" s="14">
        <v>2023</v>
      </c>
      <c r="F226" s="14" t="s">
        <v>25</v>
      </c>
      <c r="G226" s="14" t="s">
        <v>38</v>
      </c>
      <c r="H226" s="14" t="s">
        <v>171</v>
      </c>
      <c r="I226" s="17" t="s">
        <v>171</v>
      </c>
      <c r="J226" s="18">
        <v>18</v>
      </c>
      <c r="K226" s="19" t="s">
        <v>24</v>
      </c>
      <c r="L226" s="25" t="s">
        <v>645</v>
      </c>
      <c r="M226" s="16" t="s">
        <v>215</v>
      </c>
      <c r="N226" s="15">
        <v>899</v>
      </c>
      <c r="O226" s="28"/>
      <c r="S226"/>
      <c r="T226"/>
    </row>
    <row r="227" spans="2:20" ht="13.5" customHeight="1" x14ac:dyDescent="0.3">
      <c r="B227" s="14" t="s">
        <v>23</v>
      </c>
      <c r="C227" s="20">
        <v>1</v>
      </c>
      <c r="D227" s="26" t="s">
        <v>835</v>
      </c>
      <c r="E227" s="14">
        <v>2022</v>
      </c>
      <c r="F227" s="14" t="s">
        <v>25</v>
      </c>
      <c r="G227" s="14" t="s">
        <v>146</v>
      </c>
      <c r="H227" s="14" t="s">
        <v>158</v>
      </c>
      <c r="I227" s="17" t="s">
        <v>158</v>
      </c>
      <c r="J227" s="18">
        <v>5</v>
      </c>
      <c r="K227" s="19" t="s">
        <v>24</v>
      </c>
      <c r="L227" s="25" t="s">
        <v>640</v>
      </c>
      <c r="M227" s="16" t="s">
        <v>977</v>
      </c>
      <c r="N227" s="15">
        <v>144</v>
      </c>
      <c r="O227" s="28"/>
      <c r="S227"/>
      <c r="T227"/>
    </row>
    <row r="228" spans="2:20" ht="13.5" customHeight="1" x14ac:dyDescent="0.3">
      <c r="B228" s="14" t="s">
        <v>23</v>
      </c>
      <c r="C228" s="20">
        <v>1</v>
      </c>
      <c r="D228" s="26" t="s">
        <v>243</v>
      </c>
      <c r="E228" s="14">
        <v>2010</v>
      </c>
      <c r="F228" s="14" t="s">
        <v>25</v>
      </c>
      <c r="G228" s="14" t="s">
        <v>38</v>
      </c>
      <c r="H228" s="14" t="s">
        <v>39</v>
      </c>
      <c r="I228" s="17" t="s">
        <v>39</v>
      </c>
      <c r="J228" s="18">
        <v>13</v>
      </c>
      <c r="K228" s="19" t="s">
        <v>24</v>
      </c>
      <c r="L228" s="25" t="s">
        <v>645</v>
      </c>
      <c r="M228" s="16" t="s">
        <v>130</v>
      </c>
      <c r="N228" s="15">
        <v>312</v>
      </c>
      <c r="O228" s="28"/>
      <c r="S228"/>
      <c r="T228"/>
    </row>
    <row r="229" spans="2:20" ht="13.5" customHeight="1" x14ac:dyDescent="0.3">
      <c r="B229" s="14" t="s">
        <v>23</v>
      </c>
      <c r="C229" s="20">
        <v>1</v>
      </c>
      <c r="D229" s="26" t="s">
        <v>836</v>
      </c>
      <c r="E229" s="14">
        <v>1982</v>
      </c>
      <c r="F229" s="14" t="s">
        <v>25</v>
      </c>
      <c r="G229" s="14" t="s">
        <v>93</v>
      </c>
      <c r="H229" s="14" t="s">
        <v>372</v>
      </c>
      <c r="I229" s="17" t="s">
        <v>372</v>
      </c>
      <c r="J229" s="18">
        <v>11</v>
      </c>
      <c r="K229" s="19" t="s">
        <v>24</v>
      </c>
      <c r="L229" s="25" t="s">
        <v>640</v>
      </c>
      <c r="M229" s="16" t="s">
        <v>978</v>
      </c>
      <c r="N229" s="15">
        <v>412</v>
      </c>
      <c r="O229" s="28"/>
      <c r="S229"/>
      <c r="T229"/>
    </row>
    <row r="230" spans="2:20" ht="13.5" customHeight="1" x14ac:dyDescent="0.3">
      <c r="B230" s="14" t="s">
        <v>23</v>
      </c>
      <c r="C230" s="23">
        <v>1</v>
      </c>
      <c r="D230" s="16" t="s">
        <v>172</v>
      </c>
      <c r="E230" s="14">
        <v>1993</v>
      </c>
      <c r="F230" s="14" t="s">
        <v>25</v>
      </c>
      <c r="G230" s="14" t="s">
        <v>146</v>
      </c>
      <c r="H230" s="14" t="s">
        <v>151</v>
      </c>
      <c r="I230" s="17" t="s">
        <v>151</v>
      </c>
      <c r="J230" s="18">
        <v>12</v>
      </c>
      <c r="K230" s="19" t="s">
        <v>24</v>
      </c>
      <c r="L230" s="25" t="s">
        <v>640</v>
      </c>
      <c r="M230" s="16" t="s">
        <v>216</v>
      </c>
      <c r="N230" s="15">
        <v>412</v>
      </c>
      <c r="O230" s="28" t="s">
        <v>29</v>
      </c>
      <c r="S230"/>
      <c r="T230"/>
    </row>
    <row r="231" spans="2:20" ht="13.5" customHeight="1" x14ac:dyDescent="0.3">
      <c r="B231" s="14" t="s">
        <v>23</v>
      </c>
      <c r="C231" s="20">
        <v>1</v>
      </c>
      <c r="D231" s="16" t="s">
        <v>44</v>
      </c>
      <c r="E231" s="14">
        <v>2006</v>
      </c>
      <c r="F231" s="14" t="s">
        <v>25</v>
      </c>
      <c r="G231" s="14" t="s">
        <v>38</v>
      </c>
      <c r="H231" s="14" t="s">
        <v>39</v>
      </c>
      <c r="I231" s="17" t="s">
        <v>39</v>
      </c>
      <c r="J231" s="18">
        <v>14</v>
      </c>
      <c r="K231" s="19" t="s">
        <v>24</v>
      </c>
      <c r="L231" s="25" t="s">
        <v>648</v>
      </c>
      <c r="M231" s="16" t="s">
        <v>45</v>
      </c>
      <c r="N231" s="15">
        <v>576</v>
      </c>
      <c r="O231" s="28" t="s">
        <v>29</v>
      </c>
      <c r="S231"/>
      <c r="T231"/>
    </row>
    <row r="232" spans="2:20" ht="13.5" customHeight="1" x14ac:dyDescent="0.3">
      <c r="B232" s="14" t="s">
        <v>23</v>
      </c>
      <c r="C232" s="20">
        <v>1</v>
      </c>
      <c r="D232" s="16" t="s">
        <v>173</v>
      </c>
      <c r="E232" s="14">
        <v>2005</v>
      </c>
      <c r="F232" s="14" t="s">
        <v>25</v>
      </c>
      <c r="G232" s="14" t="s">
        <v>38</v>
      </c>
      <c r="H232" s="14" t="s">
        <v>174</v>
      </c>
      <c r="I232" s="17" t="s">
        <v>174</v>
      </c>
      <c r="J232" s="18">
        <v>6</v>
      </c>
      <c r="K232" s="19" t="s">
        <v>24</v>
      </c>
      <c r="L232" s="25" t="s">
        <v>640</v>
      </c>
      <c r="M232" s="16" t="s">
        <v>217</v>
      </c>
      <c r="N232" s="15">
        <v>201</v>
      </c>
      <c r="O232" s="28" t="s">
        <v>29</v>
      </c>
      <c r="S232"/>
      <c r="T232"/>
    </row>
    <row r="233" spans="2:20" ht="13.5" customHeight="1" x14ac:dyDescent="0.3">
      <c r="B233" s="14" t="s">
        <v>23</v>
      </c>
      <c r="C233" s="20">
        <v>1</v>
      </c>
      <c r="D233" s="16" t="s">
        <v>66</v>
      </c>
      <c r="E233" s="14">
        <v>1986</v>
      </c>
      <c r="F233" s="14" t="s">
        <v>25</v>
      </c>
      <c r="G233" s="14" t="s">
        <v>28</v>
      </c>
      <c r="H233" s="14" t="s">
        <v>67</v>
      </c>
      <c r="I233" s="17" t="s">
        <v>67</v>
      </c>
      <c r="J233" s="18">
        <v>27</v>
      </c>
      <c r="K233" s="19" t="s">
        <v>24</v>
      </c>
      <c r="L233" s="25" t="s">
        <v>644</v>
      </c>
      <c r="M233" s="16" t="s">
        <v>74</v>
      </c>
      <c r="N233" s="15">
        <v>669</v>
      </c>
      <c r="O233" s="28" t="s">
        <v>29</v>
      </c>
      <c r="S233"/>
      <c r="T233"/>
    </row>
    <row r="234" spans="2:20" ht="13.5" customHeight="1" x14ac:dyDescent="0.3">
      <c r="B234" s="14" t="s">
        <v>23</v>
      </c>
      <c r="C234" s="23">
        <v>1</v>
      </c>
      <c r="D234" s="16" t="s">
        <v>175</v>
      </c>
      <c r="E234" s="14">
        <v>1993</v>
      </c>
      <c r="F234" s="14" t="s">
        <v>25</v>
      </c>
      <c r="G234" s="14" t="s">
        <v>146</v>
      </c>
      <c r="H234" s="14" t="s">
        <v>151</v>
      </c>
      <c r="I234" s="17" t="s">
        <v>151</v>
      </c>
      <c r="J234" s="18">
        <v>18</v>
      </c>
      <c r="K234" s="19" t="s">
        <v>24</v>
      </c>
      <c r="L234" s="25" t="s">
        <v>644</v>
      </c>
      <c r="M234" s="16" t="s">
        <v>218</v>
      </c>
      <c r="N234" s="15">
        <v>702</v>
      </c>
      <c r="O234" s="28" t="s">
        <v>29</v>
      </c>
      <c r="S234"/>
      <c r="T234"/>
    </row>
    <row r="235" spans="2:20" ht="13.5" customHeight="1" x14ac:dyDescent="0.3">
      <c r="B235" s="14" t="s">
        <v>23</v>
      </c>
      <c r="C235" s="23">
        <v>1</v>
      </c>
      <c r="D235" s="16" t="s">
        <v>176</v>
      </c>
      <c r="E235" s="14">
        <v>1997</v>
      </c>
      <c r="F235" s="14" t="s">
        <v>25</v>
      </c>
      <c r="G235" s="14" t="s">
        <v>146</v>
      </c>
      <c r="H235" s="14" t="s">
        <v>115</v>
      </c>
      <c r="I235" s="17" t="s">
        <v>115</v>
      </c>
      <c r="J235" s="18">
        <v>27</v>
      </c>
      <c r="K235" s="19" t="s">
        <v>24</v>
      </c>
      <c r="L235" s="25" t="s">
        <v>644</v>
      </c>
      <c r="M235" s="16" t="s">
        <v>129</v>
      </c>
      <c r="N235" s="15">
        <v>996</v>
      </c>
      <c r="O235" s="28" t="s">
        <v>29</v>
      </c>
      <c r="S235"/>
      <c r="T235"/>
    </row>
    <row r="236" spans="2:20" ht="13.5" customHeight="1" x14ac:dyDescent="0.3">
      <c r="B236" s="14" t="s">
        <v>27</v>
      </c>
      <c r="C236" s="20">
        <v>1</v>
      </c>
      <c r="D236" s="16" t="s">
        <v>68</v>
      </c>
      <c r="E236" s="14">
        <v>2014</v>
      </c>
      <c r="F236" s="14" t="s">
        <v>25</v>
      </c>
      <c r="G236" s="14" t="s">
        <v>28</v>
      </c>
      <c r="H236" s="14" t="s">
        <v>62</v>
      </c>
      <c r="I236" s="17" t="s">
        <v>62</v>
      </c>
      <c r="J236" s="18">
        <v>13</v>
      </c>
      <c r="K236" s="19" t="s">
        <v>24</v>
      </c>
      <c r="L236" s="25" t="s">
        <v>645</v>
      </c>
      <c r="M236" s="16" t="s">
        <v>75</v>
      </c>
      <c r="N236" s="15">
        <v>499</v>
      </c>
      <c r="O236" s="28" t="s">
        <v>29</v>
      </c>
      <c r="S236"/>
      <c r="T236"/>
    </row>
    <row r="237" spans="2:20" ht="13.5" customHeight="1" x14ac:dyDescent="0.3">
      <c r="B237" s="14" t="s">
        <v>23</v>
      </c>
      <c r="C237" s="20">
        <v>1</v>
      </c>
      <c r="D237" s="22" t="s">
        <v>46</v>
      </c>
      <c r="E237" s="14">
        <v>2021</v>
      </c>
      <c r="F237" s="14" t="s">
        <v>25</v>
      </c>
      <c r="G237" s="14" t="s">
        <v>47</v>
      </c>
      <c r="H237" s="14" t="s">
        <v>48</v>
      </c>
      <c r="I237" s="17" t="s">
        <v>48</v>
      </c>
      <c r="J237" s="18">
        <v>26</v>
      </c>
      <c r="K237" s="19" t="s">
        <v>24</v>
      </c>
      <c r="L237" s="25" t="s">
        <v>640</v>
      </c>
      <c r="M237" s="16" t="s">
        <v>489</v>
      </c>
      <c r="N237" s="15">
        <v>999</v>
      </c>
      <c r="O237" s="28"/>
      <c r="S237"/>
      <c r="T237"/>
    </row>
    <row r="238" spans="2:20" ht="13.5" customHeight="1" x14ac:dyDescent="0.3">
      <c r="B238" s="14" t="s">
        <v>23</v>
      </c>
      <c r="C238" s="23">
        <v>1</v>
      </c>
      <c r="D238" s="22" t="s">
        <v>837</v>
      </c>
      <c r="E238" s="14">
        <v>2012</v>
      </c>
      <c r="F238" s="14" t="s">
        <v>25</v>
      </c>
      <c r="G238" s="14" t="s">
        <v>38</v>
      </c>
      <c r="H238" s="14" t="s">
        <v>40</v>
      </c>
      <c r="I238" s="17" t="s">
        <v>40</v>
      </c>
      <c r="J238" s="18">
        <v>9</v>
      </c>
      <c r="K238" s="19" t="s">
        <v>24</v>
      </c>
      <c r="L238" s="25" t="s">
        <v>640</v>
      </c>
      <c r="M238" s="16" t="s">
        <v>979</v>
      </c>
      <c r="N238" s="15">
        <v>262</v>
      </c>
      <c r="O238" s="28"/>
      <c r="S238"/>
      <c r="T238"/>
    </row>
    <row r="239" spans="2:20" ht="13.5" customHeight="1" x14ac:dyDescent="0.3">
      <c r="B239" s="14" t="s">
        <v>23</v>
      </c>
      <c r="C239" s="23">
        <v>1</v>
      </c>
      <c r="D239" s="22" t="s">
        <v>838</v>
      </c>
      <c r="E239" s="14">
        <v>2023</v>
      </c>
      <c r="F239" s="14" t="s">
        <v>25</v>
      </c>
      <c r="G239" s="14" t="s">
        <v>38</v>
      </c>
      <c r="H239" s="14" t="s">
        <v>55</v>
      </c>
      <c r="I239" s="17" t="s">
        <v>55</v>
      </c>
      <c r="J239" s="18">
        <v>6</v>
      </c>
      <c r="K239" s="19" t="s">
        <v>24</v>
      </c>
      <c r="L239" s="25" t="s">
        <v>640</v>
      </c>
      <c r="M239" s="16">
        <v>34</v>
      </c>
      <c r="N239" s="15">
        <v>152</v>
      </c>
      <c r="O239" s="28"/>
      <c r="S239"/>
      <c r="T239"/>
    </row>
    <row r="240" spans="2:20" ht="13.5" customHeight="1" x14ac:dyDescent="0.3">
      <c r="B240" s="14" t="s">
        <v>23</v>
      </c>
      <c r="C240" s="23">
        <v>1</v>
      </c>
      <c r="D240" s="22" t="s">
        <v>839</v>
      </c>
      <c r="E240" s="14">
        <v>2008</v>
      </c>
      <c r="F240" s="14" t="s">
        <v>25</v>
      </c>
      <c r="G240" s="14" t="s">
        <v>38</v>
      </c>
      <c r="H240" s="14" t="s">
        <v>39</v>
      </c>
      <c r="I240" s="17" t="s">
        <v>39</v>
      </c>
      <c r="J240" s="18">
        <v>13</v>
      </c>
      <c r="K240" s="19" t="s">
        <v>24</v>
      </c>
      <c r="L240" s="25" t="s">
        <v>640</v>
      </c>
      <c r="M240" s="16" t="s">
        <v>980</v>
      </c>
      <c r="N240" s="15">
        <v>467</v>
      </c>
      <c r="O240" s="28"/>
      <c r="S240"/>
      <c r="T240"/>
    </row>
    <row r="241" spans="2:20" ht="13.5" customHeight="1" x14ac:dyDescent="0.3">
      <c r="B241" s="14" t="s">
        <v>27</v>
      </c>
      <c r="C241" s="23">
        <v>1</v>
      </c>
      <c r="D241" s="22" t="s">
        <v>840</v>
      </c>
      <c r="E241" s="14">
        <v>2010</v>
      </c>
      <c r="F241" s="14" t="s">
        <v>25</v>
      </c>
      <c r="G241" s="14" t="s">
        <v>57</v>
      </c>
      <c r="H241" s="14" t="s">
        <v>142</v>
      </c>
      <c r="I241" s="17" t="s">
        <v>142</v>
      </c>
      <c r="J241" s="18">
        <v>4</v>
      </c>
      <c r="K241" s="19" t="s">
        <v>24</v>
      </c>
      <c r="L241" s="25" t="s">
        <v>640</v>
      </c>
      <c r="M241" s="16" t="s">
        <v>211</v>
      </c>
      <c r="N241" s="15">
        <v>1640</v>
      </c>
      <c r="O241" s="28"/>
      <c r="S241"/>
      <c r="T241"/>
    </row>
    <row r="242" spans="2:20" ht="13.5" customHeight="1" x14ac:dyDescent="0.3">
      <c r="B242" s="14" t="s">
        <v>23</v>
      </c>
      <c r="C242" s="20">
        <v>1</v>
      </c>
      <c r="D242" s="16" t="s">
        <v>245</v>
      </c>
      <c r="E242" s="14">
        <v>2021</v>
      </c>
      <c r="F242" s="14" t="s">
        <v>177</v>
      </c>
      <c r="G242" s="14" t="s">
        <v>246</v>
      </c>
      <c r="H242" s="14" t="s">
        <v>247</v>
      </c>
      <c r="I242" s="17" t="s">
        <v>247</v>
      </c>
      <c r="J242" s="18">
        <v>23</v>
      </c>
      <c r="K242" s="19" t="s">
        <v>24</v>
      </c>
      <c r="L242" s="25" t="s">
        <v>646</v>
      </c>
      <c r="M242" s="16" t="s">
        <v>289</v>
      </c>
      <c r="N242" s="15">
        <v>1184</v>
      </c>
      <c r="O242" s="28" t="s">
        <v>29</v>
      </c>
      <c r="S242"/>
      <c r="T242"/>
    </row>
    <row r="243" spans="2:20" ht="13.5" customHeight="1" x14ac:dyDescent="0.3">
      <c r="B243" s="14" t="s">
        <v>23</v>
      </c>
      <c r="C243" s="23">
        <v>1</v>
      </c>
      <c r="D243" s="16" t="s">
        <v>841</v>
      </c>
      <c r="E243" s="14">
        <v>2002</v>
      </c>
      <c r="F243" s="14" t="s">
        <v>177</v>
      </c>
      <c r="G243" s="14" t="s">
        <v>842</v>
      </c>
      <c r="H243" s="14" t="s">
        <v>843</v>
      </c>
      <c r="I243" s="17" t="s">
        <v>843</v>
      </c>
      <c r="J243" s="18">
        <v>11</v>
      </c>
      <c r="K243" s="19" t="s">
        <v>24</v>
      </c>
      <c r="L243" s="25" t="s">
        <v>646</v>
      </c>
      <c r="M243" s="16" t="s">
        <v>981</v>
      </c>
      <c r="N243" s="15">
        <v>430</v>
      </c>
      <c r="O243" s="28" t="s">
        <v>29</v>
      </c>
      <c r="S243"/>
      <c r="T243"/>
    </row>
    <row r="244" spans="2:20" ht="13.5" customHeight="1" x14ac:dyDescent="0.3">
      <c r="B244" s="14" t="s">
        <v>23</v>
      </c>
      <c r="C244" s="20">
        <v>1</v>
      </c>
      <c r="D244" s="16" t="s">
        <v>844</v>
      </c>
      <c r="E244" s="14">
        <v>1998</v>
      </c>
      <c r="F244" s="14" t="s">
        <v>177</v>
      </c>
      <c r="G244" s="14" t="s">
        <v>537</v>
      </c>
      <c r="H244" s="14" t="s">
        <v>845</v>
      </c>
      <c r="I244" s="17" t="s">
        <v>845</v>
      </c>
      <c r="J244" s="18">
        <v>36</v>
      </c>
      <c r="K244" s="19" t="s">
        <v>24</v>
      </c>
      <c r="L244" s="25" t="s">
        <v>646</v>
      </c>
      <c r="M244" s="16" t="s">
        <v>109</v>
      </c>
      <c r="N244" s="15">
        <v>1280</v>
      </c>
      <c r="O244" s="28" t="s">
        <v>29</v>
      </c>
      <c r="S244"/>
      <c r="T244"/>
    </row>
    <row r="245" spans="2:20" ht="13.5" customHeight="1" x14ac:dyDescent="0.3">
      <c r="B245" s="14" t="s">
        <v>23</v>
      </c>
      <c r="C245" s="20">
        <v>1</v>
      </c>
      <c r="D245" s="22" t="s">
        <v>597</v>
      </c>
      <c r="E245" s="14">
        <v>2005</v>
      </c>
      <c r="F245" s="14" t="s">
        <v>177</v>
      </c>
      <c r="G245" s="14" t="s">
        <v>178</v>
      </c>
      <c r="H245" s="14" t="s">
        <v>57</v>
      </c>
      <c r="I245" s="17" t="s">
        <v>598</v>
      </c>
      <c r="J245" s="18">
        <v>11</v>
      </c>
      <c r="K245" s="19" t="s">
        <v>24</v>
      </c>
      <c r="L245" s="25" t="s">
        <v>646</v>
      </c>
      <c r="M245" s="16" t="s">
        <v>637</v>
      </c>
      <c r="N245" s="15">
        <v>492</v>
      </c>
      <c r="O245" s="28" t="s">
        <v>29</v>
      </c>
      <c r="S245"/>
      <c r="T245"/>
    </row>
    <row r="246" spans="2:20" ht="13.5" customHeight="1" x14ac:dyDescent="0.3">
      <c r="B246" s="14" t="s">
        <v>23</v>
      </c>
      <c r="C246" s="15">
        <v>1</v>
      </c>
      <c r="D246" s="16" t="s">
        <v>413</v>
      </c>
      <c r="E246" s="14">
        <v>2006</v>
      </c>
      <c r="F246" s="14" t="s">
        <v>26</v>
      </c>
      <c r="G246" s="14" t="s">
        <v>50</v>
      </c>
      <c r="H246" s="14" t="s">
        <v>28</v>
      </c>
      <c r="I246" s="17" t="s">
        <v>414</v>
      </c>
      <c r="J246" s="18">
        <v>10</v>
      </c>
      <c r="K246" s="19" t="s">
        <v>24</v>
      </c>
      <c r="L246" s="25" t="s">
        <v>645</v>
      </c>
      <c r="M246" s="16" t="s">
        <v>493</v>
      </c>
      <c r="N246" s="15">
        <v>450</v>
      </c>
      <c r="O246" s="28"/>
      <c r="S246"/>
      <c r="T246"/>
    </row>
    <row r="247" spans="2:20" ht="13.5" customHeight="1" x14ac:dyDescent="0.3">
      <c r="B247" s="14" t="s">
        <v>23</v>
      </c>
      <c r="C247" s="15">
        <v>1</v>
      </c>
      <c r="D247" s="16" t="s">
        <v>49</v>
      </c>
      <c r="E247" s="14">
        <v>2005</v>
      </c>
      <c r="F247" s="14" t="s">
        <v>26</v>
      </c>
      <c r="G247" s="14" t="s">
        <v>50</v>
      </c>
      <c r="H247" s="14" t="s">
        <v>51</v>
      </c>
      <c r="I247" s="17" t="s">
        <v>52</v>
      </c>
      <c r="J247" s="18">
        <v>17</v>
      </c>
      <c r="K247" s="19" t="s">
        <v>24</v>
      </c>
      <c r="L247" s="25" t="s">
        <v>1009</v>
      </c>
      <c r="M247" s="16" t="s">
        <v>53</v>
      </c>
      <c r="N247" s="15">
        <v>998</v>
      </c>
      <c r="O247" s="28"/>
      <c r="S247"/>
      <c r="T247"/>
    </row>
    <row r="248" spans="2:20" ht="13.5" customHeight="1" x14ac:dyDescent="0.3">
      <c r="B248" s="14" t="s">
        <v>23</v>
      </c>
      <c r="C248" s="15">
        <v>1</v>
      </c>
      <c r="D248" s="16" t="s">
        <v>415</v>
      </c>
      <c r="E248" s="14">
        <v>2006</v>
      </c>
      <c r="F248" s="14" t="s">
        <v>26</v>
      </c>
      <c r="G248" s="14" t="s">
        <v>50</v>
      </c>
      <c r="H248" s="14" t="s">
        <v>51</v>
      </c>
      <c r="I248" s="17" t="s">
        <v>416</v>
      </c>
      <c r="J248" s="18">
        <v>20</v>
      </c>
      <c r="K248" s="19" t="s">
        <v>24</v>
      </c>
      <c r="L248" s="25" t="s">
        <v>640</v>
      </c>
      <c r="M248" s="16" t="s">
        <v>494</v>
      </c>
      <c r="N248" s="15">
        <v>846</v>
      </c>
      <c r="O248" s="28"/>
      <c r="S248"/>
      <c r="T248"/>
    </row>
    <row r="249" spans="2:20" ht="13.5" customHeight="1" x14ac:dyDescent="0.3">
      <c r="B249" s="14" t="s">
        <v>23</v>
      </c>
      <c r="C249" s="15">
        <v>1</v>
      </c>
      <c r="D249" s="16" t="s">
        <v>86</v>
      </c>
      <c r="E249" s="14">
        <v>2010</v>
      </c>
      <c r="F249" s="14" t="s">
        <v>26</v>
      </c>
      <c r="G249" s="14" t="s">
        <v>87</v>
      </c>
      <c r="H249" s="14" t="s">
        <v>88</v>
      </c>
      <c r="I249" s="17" t="s">
        <v>89</v>
      </c>
      <c r="J249" s="18">
        <v>32</v>
      </c>
      <c r="K249" s="19" t="s">
        <v>24</v>
      </c>
      <c r="L249" s="25" t="s">
        <v>645</v>
      </c>
      <c r="M249" s="16" t="s">
        <v>106</v>
      </c>
      <c r="N249" s="15">
        <v>1598</v>
      </c>
      <c r="O249" s="28"/>
      <c r="S249"/>
      <c r="T249"/>
    </row>
    <row r="250" spans="2:20" ht="13.5" customHeight="1" x14ac:dyDescent="0.3">
      <c r="B250" s="14" t="s">
        <v>27</v>
      </c>
      <c r="C250" s="15">
        <v>1</v>
      </c>
      <c r="D250" s="16" t="s">
        <v>179</v>
      </c>
      <c r="E250" s="14">
        <v>2008</v>
      </c>
      <c r="F250" s="14" t="s">
        <v>26</v>
      </c>
      <c r="G250" s="14" t="s">
        <v>50</v>
      </c>
      <c r="H250" s="14" t="s">
        <v>51</v>
      </c>
      <c r="I250" s="17" t="s">
        <v>52</v>
      </c>
      <c r="J250" s="18">
        <v>20</v>
      </c>
      <c r="K250" s="19" t="s">
        <v>24</v>
      </c>
      <c r="L250" s="25" t="s">
        <v>1009</v>
      </c>
      <c r="M250" s="16" t="s">
        <v>219</v>
      </c>
      <c r="N250" s="15">
        <v>848</v>
      </c>
      <c r="O250" s="28"/>
      <c r="S250"/>
      <c r="T250"/>
    </row>
    <row r="251" spans="2:20" ht="13.5" customHeight="1" x14ac:dyDescent="0.3">
      <c r="B251" s="14" t="s">
        <v>23</v>
      </c>
      <c r="C251" s="15">
        <v>1</v>
      </c>
      <c r="D251" s="16" t="s">
        <v>599</v>
      </c>
      <c r="E251" s="14">
        <v>2005</v>
      </c>
      <c r="F251" s="14" t="s">
        <v>26</v>
      </c>
      <c r="G251" s="14" t="s">
        <v>50</v>
      </c>
      <c r="H251" s="14" t="s">
        <v>250</v>
      </c>
      <c r="I251" s="17" t="s">
        <v>600</v>
      </c>
      <c r="J251" s="18">
        <v>5</v>
      </c>
      <c r="K251" s="19" t="s">
        <v>24</v>
      </c>
      <c r="L251" s="25" t="s">
        <v>640</v>
      </c>
      <c r="M251" s="16">
        <v>32</v>
      </c>
      <c r="N251" s="15">
        <v>200</v>
      </c>
      <c r="O251" s="28"/>
      <c r="S251"/>
      <c r="T251"/>
    </row>
    <row r="252" spans="2:20" ht="13.5" customHeight="1" x14ac:dyDescent="0.3">
      <c r="B252" s="14" t="s">
        <v>23</v>
      </c>
      <c r="C252" s="15">
        <v>1</v>
      </c>
      <c r="D252" s="16" t="s">
        <v>417</v>
      </c>
      <c r="E252" s="14">
        <v>2006</v>
      </c>
      <c r="F252" s="14" t="s">
        <v>26</v>
      </c>
      <c r="G252" s="14" t="s">
        <v>50</v>
      </c>
      <c r="H252" s="14" t="s">
        <v>51</v>
      </c>
      <c r="I252" s="17" t="s">
        <v>52</v>
      </c>
      <c r="J252" s="18">
        <v>20</v>
      </c>
      <c r="K252" s="19" t="s">
        <v>24</v>
      </c>
      <c r="L252" s="25" t="s">
        <v>640</v>
      </c>
      <c r="M252" s="16" t="s">
        <v>476</v>
      </c>
      <c r="N252" s="15">
        <v>703</v>
      </c>
      <c r="O252" s="28"/>
      <c r="S252"/>
      <c r="T252"/>
    </row>
    <row r="253" spans="2:20" ht="13.5" customHeight="1" x14ac:dyDescent="0.3">
      <c r="B253" s="14" t="s">
        <v>23</v>
      </c>
      <c r="C253" s="15">
        <v>1</v>
      </c>
      <c r="D253" s="16" t="s">
        <v>418</v>
      </c>
      <c r="E253" s="14">
        <v>2003</v>
      </c>
      <c r="F253" s="14" t="s">
        <v>26</v>
      </c>
      <c r="G253" s="14" t="s">
        <v>95</v>
      </c>
      <c r="H253" s="14" t="s">
        <v>419</v>
      </c>
      <c r="I253" s="17" t="s">
        <v>419</v>
      </c>
      <c r="J253" s="18">
        <v>24</v>
      </c>
      <c r="K253" s="19" t="s">
        <v>24</v>
      </c>
      <c r="L253" s="25" t="s">
        <v>640</v>
      </c>
      <c r="M253" s="16" t="s">
        <v>495</v>
      </c>
      <c r="N253" s="15">
        <v>1082</v>
      </c>
      <c r="O253" s="28" t="s">
        <v>496</v>
      </c>
      <c r="S253"/>
      <c r="T253"/>
    </row>
    <row r="254" spans="2:20" ht="13.5" customHeight="1" x14ac:dyDescent="0.3">
      <c r="B254" s="14" t="s">
        <v>23</v>
      </c>
      <c r="C254" s="15">
        <v>1</v>
      </c>
      <c r="D254" s="16" t="s">
        <v>420</v>
      </c>
      <c r="E254" s="14">
        <v>2017</v>
      </c>
      <c r="F254" s="14" t="s">
        <v>26</v>
      </c>
      <c r="G254" s="14" t="s">
        <v>50</v>
      </c>
      <c r="H254" s="14" t="s">
        <v>28</v>
      </c>
      <c r="I254" s="17" t="s">
        <v>421</v>
      </c>
      <c r="J254" s="18">
        <v>12</v>
      </c>
      <c r="K254" s="19" t="s">
        <v>24</v>
      </c>
      <c r="L254" s="25" t="s">
        <v>640</v>
      </c>
      <c r="M254" s="16" t="s">
        <v>295</v>
      </c>
      <c r="N254" s="15">
        <v>364</v>
      </c>
      <c r="O254" s="28"/>
      <c r="S254"/>
      <c r="T254"/>
    </row>
    <row r="255" spans="2:20" ht="13.5" customHeight="1" x14ac:dyDescent="0.3">
      <c r="B255" s="14" t="s">
        <v>30</v>
      </c>
      <c r="C255" s="15">
        <v>1</v>
      </c>
      <c r="D255" s="16" t="s">
        <v>90</v>
      </c>
      <c r="E255" s="14">
        <v>2011</v>
      </c>
      <c r="F255" s="14" t="s">
        <v>26</v>
      </c>
      <c r="G255" s="14" t="s">
        <v>50</v>
      </c>
      <c r="H255" s="14" t="s">
        <v>91</v>
      </c>
      <c r="I255" s="17" t="s">
        <v>92</v>
      </c>
      <c r="J255" s="18">
        <v>12</v>
      </c>
      <c r="K255" s="19" t="s">
        <v>24</v>
      </c>
      <c r="L255" s="25" t="s">
        <v>1011</v>
      </c>
      <c r="M255" s="16">
        <v>124</v>
      </c>
      <c r="N255" s="15">
        <v>288</v>
      </c>
      <c r="O255" s="28"/>
      <c r="S255"/>
      <c r="T255"/>
    </row>
    <row r="256" spans="2:20" ht="13.5" customHeight="1" x14ac:dyDescent="0.3">
      <c r="B256" s="14" t="s">
        <v>23</v>
      </c>
      <c r="C256" s="15">
        <v>1</v>
      </c>
      <c r="D256" s="16" t="s">
        <v>422</v>
      </c>
      <c r="E256" s="14">
        <v>2017</v>
      </c>
      <c r="F256" s="14" t="s">
        <v>26</v>
      </c>
      <c r="G256" s="14" t="s">
        <v>50</v>
      </c>
      <c r="H256" s="14" t="s">
        <v>51</v>
      </c>
      <c r="I256" s="17" t="s">
        <v>423</v>
      </c>
      <c r="J256" s="18">
        <v>14</v>
      </c>
      <c r="K256" s="19" t="s">
        <v>24</v>
      </c>
      <c r="L256" s="25" t="s">
        <v>640</v>
      </c>
      <c r="M256" s="16" t="s">
        <v>497</v>
      </c>
      <c r="N256" s="15">
        <v>753</v>
      </c>
      <c r="O256" s="28"/>
      <c r="S256"/>
      <c r="T256"/>
    </row>
    <row r="257" spans="2:20" ht="13.5" customHeight="1" x14ac:dyDescent="0.3">
      <c r="B257" s="14" t="s">
        <v>23</v>
      </c>
      <c r="C257" s="20">
        <v>1</v>
      </c>
      <c r="D257" s="16" t="s">
        <v>180</v>
      </c>
      <c r="E257" s="14">
        <v>2013</v>
      </c>
      <c r="F257" s="14" t="s">
        <v>26</v>
      </c>
      <c r="G257" s="14" t="s">
        <v>93</v>
      </c>
      <c r="H257" s="14" t="s">
        <v>181</v>
      </c>
      <c r="I257" s="17" t="s">
        <v>181</v>
      </c>
      <c r="J257" s="18">
        <v>45</v>
      </c>
      <c r="K257" s="19" t="s">
        <v>24</v>
      </c>
      <c r="L257" s="25" t="s">
        <v>647</v>
      </c>
      <c r="M257" s="16" t="s">
        <v>220</v>
      </c>
      <c r="N257" s="15">
        <v>2304</v>
      </c>
      <c r="O257" s="28"/>
      <c r="S257"/>
      <c r="T257"/>
    </row>
    <row r="258" spans="2:20" ht="13.5" customHeight="1" x14ac:dyDescent="0.3">
      <c r="B258" s="14" t="s">
        <v>23</v>
      </c>
      <c r="C258" s="20">
        <v>1</v>
      </c>
      <c r="D258" s="16" t="s">
        <v>249</v>
      </c>
      <c r="E258" s="14">
        <v>2011</v>
      </c>
      <c r="F258" s="14" t="s">
        <v>26</v>
      </c>
      <c r="G258" s="14" t="s">
        <v>50</v>
      </c>
      <c r="H258" s="14" t="s">
        <v>250</v>
      </c>
      <c r="I258" s="17" t="s">
        <v>250</v>
      </c>
      <c r="J258" s="18">
        <v>8</v>
      </c>
      <c r="K258" s="19" t="s">
        <v>24</v>
      </c>
      <c r="L258" s="25" t="s">
        <v>648</v>
      </c>
      <c r="M258" s="16" t="s">
        <v>290</v>
      </c>
      <c r="N258" s="15">
        <v>415</v>
      </c>
      <c r="O258" s="28"/>
      <c r="S258"/>
      <c r="T258"/>
    </row>
    <row r="259" spans="2:20" ht="13.5" customHeight="1" x14ac:dyDescent="0.3">
      <c r="B259" s="14" t="s">
        <v>23</v>
      </c>
      <c r="C259" s="20">
        <v>1</v>
      </c>
      <c r="D259" s="16" t="s">
        <v>601</v>
      </c>
      <c r="E259" s="14">
        <v>2011</v>
      </c>
      <c r="F259" s="14" t="s">
        <v>26</v>
      </c>
      <c r="G259" s="14" t="s">
        <v>412</v>
      </c>
      <c r="H259" s="14" t="s">
        <v>602</v>
      </c>
      <c r="I259" s="17" t="s">
        <v>602</v>
      </c>
      <c r="J259" s="18">
        <v>40</v>
      </c>
      <c r="K259" s="19" t="s">
        <v>24</v>
      </c>
      <c r="L259" s="25" t="s">
        <v>640</v>
      </c>
      <c r="M259" s="16" t="s">
        <v>638</v>
      </c>
      <c r="N259" s="15">
        <v>1679</v>
      </c>
      <c r="O259" s="28"/>
      <c r="S259"/>
      <c r="T259"/>
    </row>
    <row r="260" spans="2:20" ht="13.5" customHeight="1" x14ac:dyDescent="0.3">
      <c r="B260" s="14" t="s">
        <v>23</v>
      </c>
      <c r="C260" s="20">
        <v>1</v>
      </c>
      <c r="D260" s="16" t="s">
        <v>251</v>
      </c>
      <c r="E260" s="14">
        <v>2019</v>
      </c>
      <c r="F260" s="14" t="s">
        <v>26</v>
      </c>
      <c r="G260" s="14" t="s">
        <v>95</v>
      </c>
      <c r="H260" s="14" t="s">
        <v>252</v>
      </c>
      <c r="I260" s="17" t="s">
        <v>252</v>
      </c>
      <c r="J260" s="18">
        <v>21</v>
      </c>
      <c r="K260" s="19" t="s">
        <v>24</v>
      </c>
      <c r="L260" s="25" t="s">
        <v>640</v>
      </c>
      <c r="M260" s="16" t="s">
        <v>291</v>
      </c>
      <c r="N260" s="15">
        <v>1147</v>
      </c>
      <c r="O260" s="28"/>
      <c r="S260"/>
      <c r="T260"/>
    </row>
    <row r="261" spans="2:20" ht="13.5" customHeight="1" x14ac:dyDescent="0.3">
      <c r="B261" s="14" t="s">
        <v>23</v>
      </c>
      <c r="C261" s="20">
        <v>1</v>
      </c>
      <c r="D261" s="16" t="s">
        <v>424</v>
      </c>
      <c r="E261" s="14">
        <v>2003</v>
      </c>
      <c r="F261" s="14" t="s">
        <v>26</v>
      </c>
      <c r="G261" s="14" t="s">
        <v>95</v>
      </c>
      <c r="H261" s="14" t="s">
        <v>96</v>
      </c>
      <c r="I261" s="17" t="s">
        <v>96</v>
      </c>
      <c r="J261" s="18">
        <v>12</v>
      </c>
      <c r="K261" s="19" t="s">
        <v>24</v>
      </c>
      <c r="L261" s="25" t="s">
        <v>640</v>
      </c>
      <c r="M261" s="16" t="s">
        <v>498</v>
      </c>
      <c r="N261" s="15">
        <v>591</v>
      </c>
      <c r="O261" s="28"/>
      <c r="S261"/>
      <c r="T261"/>
    </row>
    <row r="262" spans="2:20" ht="13.5" customHeight="1" x14ac:dyDescent="0.3">
      <c r="B262" s="14" t="s">
        <v>23</v>
      </c>
      <c r="C262" s="23">
        <v>1</v>
      </c>
      <c r="D262" s="16" t="s">
        <v>426</v>
      </c>
      <c r="E262" s="14">
        <v>2003</v>
      </c>
      <c r="F262" s="14" t="s">
        <v>26</v>
      </c>
      <c r="G262" s="14" t="s">
        <v>50</v>
      </c>
      <c r="H262" s="14" t="s">
        <v>270</v>
      </c>
      <c r="I262" s="17" t="s">
        <v>270</v>
      </c>
      <c r="J262" s="18">
        <v>21</v>
      </c>
      <c r="K262" s="19" t="s">
        <v>24</v>
      </c>
      <c r="L262" s="25" t="s">
        <v>640</v>
      </c>
      <c r="M262" s="16">
        <v>24</v>
      </c>
      <c r="N262" s="15">
        <v>824</v>
      </c>
      <c r="O262" s="28"/>
      <c r="S262"/>
      <c r="T262"/>
    </row>
    <row r="263" spans="2:20" ht="13.5" customHeight="1" x14ac:dyDescent="0.3">
      <c r="B263" s="14" t="s">
        <v>23</v>
      </c>
      <c r="C263" s="20">
        <v>1</v>
      </c>
      <c r="D263" s="16" t="s">
        <v>846</v>
      </c>
      <c r="E263" s="14">
        <v>1998</v>
      </c>
      <c r="F263" s="14" t="s">
        <v>26</v>
      </c>
      <c r="G263" s="14" t="s">
        <v>412</v>
      </c>
      <c r="H263" s="14" t="s">
        <v>425</v>
      </c>
      <c r="I263" s="17" t="s">
        <v>425</v>
      </c>
      <c r="J263" s="18">
        <v>54</v>
      </c>
      <c r="K263" s="19" t="s">
        <v>24</v>
      </c>
      <c r="L263" s="25" t="s">
        <v>640</v>
      </c>
      <c r="M263" s="16" t="s">
        <v>982</v>
      </c>
      <c r="N263" s="15">
        <v>2510</v>
      </c>
      <c r="O263" s="28"/>
      <c r="S263"/>
      <c r="T263"/>
    </row>
    <row r="264" spans="2:20" ht="13.5" customHeight="1" x14ac:dyDescent="0.3">
      <c r="B264" s="14" t="s">
        <v>23</v>
      </c>
      <c r="C264" s="20">
        <v>1</v>
      </c>
      <c r="D264" s="16" t="s">
        <v>847</v>
      </c>
      <c r="E264" s="14">
        <v>1997</v>
      </c>
      <c r="F264" s="14" t="s">
        <v>26</v>
      </c>
      <c r="G264" s="14" t="s">
        <v>57</v>
      </c>
      <c r="H264" s="14" t="s">
        <v>268</v>
      </c>
      <c r="I264" s="17" t="s">
        <v>268</v>
      </c>
      <c r="J264" s="18">
        <v>74</v>
      </c>
      <c r="K264" s="19" t="s">
        <v>24</v>
      </c>
      <c r="L264" s="25" t="s">
        <v>640</v>
      </c>
      <c r="M264" s="16" t="s">
        <v>499</v>
      </c>
      <c r="N264" s="15">
        <v>3160</v>
      </c>
      <c r="O264" s="28"/>
      <c r="S264"/>
      <c r="T264"/>
    </row>
    <row r="265" spans="2:20" ht="13.5" customHeight="1" x14ac:dyDescent="0.3">
      <c r="B265" s="14" t="s">
        <v>23</v>
      </c>
      <c r="C265" s="20">
        <v>1</v>
      </c>
      <c r="D265" s="16" t="s">
        <v>427</v>
      </c>
      <c r="E265" s="14">
        <v>2005</v>
      </c>
      <c r="F265" s="14" t="s">
        <v>26</v>
      </c>
      <c r="G265" s="14" t="s">
        <v>50</v>
      </c>
      <c r="H265" s="14" t="s">
        <v>125</v>
      </c>
      <c r="I265" s="17" t="s">
        <v>125</v>
      </c>
      <c r="J265" s="18">
        <v>7</v>
      </c>
      <c r="K265" s="19" t="s">
        <v>24</v>
      </c>
      <c r="L265" s="25" t="s">
        <v>640</v>
      </c>
      <c r="M265" s="16">
        <v>32</v>
      </c>
      <c r="N265" s="15">
        <v>320</v>
      </c>
      <c r="O265" s="28"/>
      <c r="S265"/>
      <c r="T265"/>
    </row>
    <row r="266" spans="2:20" ht="13.5" customHeight="1" x14ac:dyDescent="0.3">
      <c r="B266" s="14" t="s">
        <v>23</v>
      </c>
      <c r="C266" s="23">
        <v>1</v>
      </c>
      <c r="D266" s="16" t="s">
        <v>428</v>
      </c>
      <c r="E266" s="14">
        <v>2013</v>
      </c>
      <c r="F266" s="14" t="s">
        <v>26</v>
      </c>
      <c r="G266" s="14" t="s">
        <v>50</v>
      </c>
      <c r="H266" s="14" t="s">
        <v>270</v>
      </c>
      <c r="I266" s="17" t="s">
        <v>270</v>
      </c>
      <c r="J266" s="18">
        <v>16</v>
      </c>
      <c r="K266" s="19" t="s">
        <v>24</v>
      </c>
      <c r="L266" s="25" t="s">
        <v>640</v>
      </c>
      <c r="M266" s="16" t="s">
        <v>500</v>
      </c>
      <c r="N266" s="15">
        <v>799</v>
      </c>
      <c r="O266" s="28"/>
      <c r="S266"/>
      <c r="T266"/>
    </row>
    <row r="267" spans="2:20" ht="13.5" customHeight="1" x14ac:dyDescent="0.3">
      <c r="B267" s="14" t="s">
        <v>23</v>
      </c>
      <c r="C267" s="20">
        <v>1</v>
      </c>
      <c r="D267" s="16" t="s">
        <v>94</v>
      </c>
      <c r="E267" s="14">
        <v>1998</v>
      </c>
      <c r="F267" s="14" t="s">
        <v>26</v>
      </c>
      <c r="G267" s="14" t="s">
        <v>95</v>
      </c>
      <c r="H267" s="14" t="s">
        <v>96</v>
      </c>
      <c r="I267" s="17" t="s">
        <v>96</v>
      </c>
      <c r="J267" s="18">
        <v>18</v>
      </c>
      <c r="K267" s="19" t="s">
        <v>24</v>
      </c>
      <c r="L267" s="25" t="s">
        <v>647</v>
      </c>
      <c r="M267" s="16" t="s">
        <v>107</v>
      </c>
      <c r="N267" s="15">
        <v>840</v>
      </c>
      <c r="O267" s="28"/>
      <c r="S267"/>
      <c r="T267"/>
    </row>
    <row r="268" spans="2:20" ht="13.5" customHeight="1" x14ac:dyDescent="0.3">
      <c r="B268" s="14" t="s">
        <v>23</v>
      </c>
      <c r="C268" s="20">
        <v>1</v>
      </c>
      <c r="D268" s="16" t="s">
        <v>430</v>
      </c>
      <c r="E268" s="14">
        <v>2006</v>
      </c>
      <c r="F268" s="14" t="s">
        <v>26</v>
      </c>
      <c r="G268" s="14" t="s">
        <v>50</v>
      </c>
      <c r="H268" s="14" t="s">
        <v>431</v>
      </c>
      <c r="I268" s="17" t="s">
        <v>431</v>
      </c>
      <c r="J268" s="18">
        <v>14</v>
      </c>
      <c r="K268" s="19" t="s">
        <v>24</v>
      </c>
      <c r="L268" s="25" t="s">
        <v>640</v>
      </c>
      <c r="M268" s="16">
        <v>32</v>
      </c>
      <c r="N268" s="15">
        <v>800</v>
      </c>
      <c r="O268" s="28"/>
      <c r="S268"/>
      <c r="T268"/>
    </row>
    <row r="269" spans="2:20" ht="13.5" customHeight="1" x14ac:dyDescent="0.3">
      <c r="B269" s="14" t="s">
        <v>23</v>
      </c>
      <c r="C269" s="20">
        <v>1</v>
      </c>
      <c r="D269" s="16" t="s">
        <v>253</v>
      </c>
      <c r="E269" s="14">
        <v>2019</v>
      </c>
      <c r="F269" s="14" t="s">
        <v>26</v>
      </c>
      <c r="G269" s="14" t="s">
        <v>97</v>
      </c>
      <c r="H269" s="14" t="s">
        <v>254</v>
      </c>
      <c r="I269" s="17" t="s">
        <v>254</v>
      </c>
      <c r="J269" s="18">
        <v>4</v>
      </c>
      <c r="K269" s="19" t="s">
        <v>24</v>
      </c>
      <c r="L269" s="25" t="s">
        <v>640</v>
      </c>
      <c r="M269" s="16" t="s">
        <v>292</v>
      </c>
      <c r="N269" s="15">
        <v>210</v>
      </c>
      <c r="O269" s="28"/>
      <c r="S269"/>
      <c r="T269"/>
    </row>
    <row r="270" spans="2:20" ht="13.5" customHeight="1" x14ac:dyDescent="0.3">
      <c r="B270" s="14" t="s">
        <v>23</v>
      </c>
      <c r="C270" s="20">
        <v>1</v>
      </c>
      <c r="D270" s="16" t="s">
        <v>848</v>
      </c>
      <c r="E270" s="14">
        <v>2021</v>
      </c>
      <c r="F270" s="14" t="s">
        <v>26</v>
      </c>
      <c r="G270" s="14" t="s">
        <v>97</v>
      </c>
      <c r="H270" s="14" t="s">
        <v>186</v>
      </c>
      <c r="I270" s="17" t="s">
        <v>849</v>
      </c>
      <c r="J270" s="18">
        <v>43</v>
      </c>
      <c r="K270" s="19" t="s">
        <v>24</v>
      </c>
      <c r="L270" s="25" t="s">
        <v>640</v>
      </c>
      <c r="M270" s="16" t="s">
        <v>983</v>
      </c>
      <c r="N270" s="15">
        <v>1149</v>
      </c>
      <c r="O270" s="28"/>
      <c r="S270"/>
      <c r="T270"/>
    </row>
    <row r="271" spans="2:20" ht="13.5" customHeight="1" x14ac:dyDescent="0.3">
      <c r="B271" s="14" t="s">
        <v>23</v>
      </c>
      <c r="C271" s="20">
        <v>1</v>
      </c>
      <c r="D271" s="16" t="s">
        <v>432</v>
      </c>
      <c r="E271" s="14">
        <v>2017</v>
      </c>
      <c r="F271" s="14" t="s">
        <v>26</v>
      </c>
      <c r="G271" s="14" t="s">
        <v>50</v>
      </c>
      <c r="H271" s="14" t="s">
        <v>270</v>
      </c>
      <c r="I271" s="17" t="s">
        <v>270</v>
      </c>
      <c r="J271" s="18">
        <v>19</v>
      </c>
      <c r="K271" s="19" t="s">
        <v>24</v>
      </c>
      <c r="L271" s="25" t="s">
        <v>640</v>
      </c>
      <c r="M271" s="16" t="s">
        <v>501</v>
      </c>
      <c r="N271" s="15">
        <v>788</v>
      </c>
      <c r="O271" s="28"/>
      <c r="S271"/>
      <c r="T271"/>
    </row>
    <row r="272" spans="2:20" ht="13.5" customHeight="1" x14ac:dyDescent="0.3">
      <c r="B272" s="14" t="s">
        <v>23</v>
      </c>
      <c r="C272" s="20">
        <v>1</v>
      </c>
      <c r="D272" s="16" t="s">
        <v>182</v>
      </c>
      <c r="E272" s="14">
        <v>2004</v>
      </c>
      <c r="F272" s="14" t="s">
        <v>26</v>
      </c>
      <c r="G272" s="14" t="s">
        <v>50</v>
      </c>
      <c r="H272" s="14" t="s">
        <v>125</v>
      </c>
      <c r="I272" s="17" t="s">
        <v>125</v>
      </c>
      <c r="J272" s="18">
        <v>13</v>
      </c>
      <c r="K272" s="19" t="s">
        <v>24</v>
      </c>
      <c r="L272" s="25" t="s">
        <v>647</v>
      </c>
      <c r="M272" s="16" t="s">
        <v>221</v>
      </c>
      <c r="N272" s="15">
        <v>792</v>
      </c>
      <c r="O272" s="28"/>
      <c r="S272"/>
      <c r="T272"/>
    </row>
    <row r="273" spans="2:20" ht="13.5" customHeight="1" x14ac:dyDescent="0.3">
      <c r="B273" s="14" t="s">
        <v>23</v>
      </c>
      <c r="C273" s="20">
        <v>1</v>
      </c>
      <c r="D273" s="16" t="s">
        <v>850</v>
      </c>
      <c r="E273" s="14">
        <v>2010</v>
      </c>
      <c r="F273" s="14" t="s">
        <v>26</v>
      </c>
      <c r="G273" s="14" t="s">
        <v>93</v>
      </c>
      <c r="H273" s="14" t="s">
        <v>181</v>
      </c>
      <c r="I273" s="17" t="s">
        <v>181</v>
      </c>
      <c r="J273" s="18">
        <v>36</v>
      </c>
      <c r="K273" s="19" t="s">
        <v>24</v>
      </c>
      <c r="L273" s="25" t="s">
        <v>640</v>
      </c>
      <c r="M273" s="16" t="s">
        <v>984</v>
      </c>
      <c r="N273" s="15">
        <v>1422</v>
      </c>
      <c r="O273" s="28"/>
      <c r="S273"/>
      <c r="T273"/>
    </row>
    <row r="274" spans="2:20" ht="13.5" customHeight="1" x14ac:dyDescent="0.3">
      <c r="B274" s="14" t="s">
        <v>23</v>
      </c>
      <c r="C274" s="20">
        <v>1</v>
      </c>
      <c r="D274" s="16" t="s">
        <v>434</v>
      </c>
      <c r="E274" s="14">
        <v>2015</v>
      </c>
      <c r="F274" s="14" t="s">
        <v>26</v>
      </c>
      <c r="G274" s="14" t="s">
        <v>50</v>
      </c>
      <c r="H274" s="14" t="s">
        <v>270</v>
      </c>
      <c r="I274" s="17" t="s">
        <v>270</v>
      </c>
      <c r="J274" s="18">
        <v>16</v>
      </c>
      <c r="K274" s="19" t="s">
        <v>24</v>
      </c>
      <c r="L274" s="25" t="s">
        <v>640</v>
      </c>
      <c r="M274" s="16" t="s">
        <v>502</v>
      </c>
      <c r="N274" s="15">
        <v>632</v>
      </c>
      <c r="O274" s="28"/>
      <c r="S274"/>
      <c r="T274"/>
    </row>
    <row r="275" spans="2:20" ht="13.5" customHeight="1" x14ac:dyDescent="0.3">
      <c r="B275" s="14" t="s">
        <v>30</v>
      </c>
      <c r="C275" s="20">
        <v>1</v>
      </c>
      <c r="D275" s="16" t="s">
        <v>435</v>
      </c>
      <c r="E275" s="14">
        <v>2005</v>
      </c>
      <c r="F275" s="14" t="s">
        <v>26</v>
      </c>
      <c r="G275" s="14" t="s">
        <v>50</v>
      </c>
      <c r="H275" s="14" t="s">
        <v>270</v>
      </c>
      <c r="I275" s="17" t="s">
        <v>270</v>
      </c>
      <c r="J275" s="18">
        <v>4</v>
      </c>
      <c r="K275" s="19" t="s">
        <v>24</v>
      </c>
      <c r="L275" s="25" t="s">
        <v>640</v>
      </c>
      <c r="M275" s="16" t="s">
        <v>503</v>
      </c>
      <c r="N275" s="15">
        <v>500</v>
      </c>
      <c r="O275" s="28"/>
      <c r="S275"/>
      <c r="T275"/>
    </row>
    <row r="276" spans="2:20" ht="13.5" customHeight="1" x14ac:dyDescent="0.3">
      <c r="B276" s="14" t="s">
        <v>23</v>
      </c>
      <c r="C276" s="20">
        <v>1</v>
      </c>
      <c r="D276" s="16" t="s">
        <v>436</v>
      </c>
      <c r="E276" s="14">
        <v>2002</v>
      </c>
      <c r="F276" s="14" t="s">
        <v>26</v>
      </c>
      <c r="G276" s="14" t="s">
        <v>97</v>
      </c>
      <c r="H276" s="14" t="s">
        <v>254</v>
      </c>
      <c r="I276" s="17" t="s">
        <v>254</v>
      </c>
      <c r="J276" s="18">
        <v>17</v>
      </c>
      <c r="K276" s="19" t="s">
        <v>24</v>
      </c>
      <c r="L276" s="25" t="s">
        <v>640</v>
      </c>
      <c r="M276" s="16" t="s">
        <v>504</v>
      </c>
      <c r="N276" s="15">
        <v>680</v>
      </c>
      <c r="O276" s="28"/>
      <c r="S276"/>
      <c r="T276"/>
    </row>
    <row r="277" spans="2:20" ht="13.5" customHeight="1" x14ac:dyDescent="0.3">
      <c r="B277" s="14" t="s">
        <v>23</v>
      </c>
      <c r="C277" s="20">
        <v>1</v>
      </c>
      <c r="D277" s="16" t="s">
        <v>437</v>
      </c>
      <c r="E277" s="14">
        <v>2002</v>
      </c>
      <c r="F277" s="14" t="s">
        <v>26</v>
      </c>
      <c r="G277" s="14" t="s">
        <v>248</v>
      </c>
      <c r="H277" s="14" t="s">
        <v>429</v>
      </c>
      <c r="I277" s="17" t="s">
        <v>429</v>
      </c>
      <c r="J277" s="18">
        <v>40</v>
      </c>
      <c r="K277" s="19" t="s">
        <v>24</v>
      </c>
      <c r="L277" s="25" t="s">
        <v>640</v>
      </c>
      <c r="M277" s="16" t="s">
        <v>505</v>
      </c>
      <c r="N277" s="15">
        <v>1539</v>
      </c>
      <c r="O277" s="28"/>
      <c r="S277"/>
      <c r="T277"/>
    </row>
    <row r="278" spans="2:20" ht="13.5" customHeight="1" x14ac:dyDescent="0.3">
      <c r="B278" s="14" t="s">
        <v>23</v>
      </c>
      <c r="C278" s="20">
        <v>1</v>
      </c>
      <c r="D278" s="16" t="s">
        <v>438</v>
      </c>
      <c r="E278" s="14">
        <v>1998</v>
      </c>
      <c r="F278" s="14" t="s">
        <v>26</v>
      </c>
      <c r="G278" s="14" t="s">
        <v>50</v>
      </c>
      <c r="H278" s="14" t="s">
        <v>270</v>
      </c>
      <c r="I278" s="17" t="s">
        <v>270</v>
      </c>
      <c r="J278" s="18">
        <v>17</v>
      </c>
      <c r="K278" s="19" t="s">
        <v>24</v>
      </c>
      <c r="L278" s="25" t="s">
        <v>640</v>
      </c>
      <c r="M278" s="16" t="s">
        <v>506</v>
      </c>
      <c r="N278" s="15">
        <v>728</v>
      </c>
      <c r="O278" s="28"/>
      <c r="S278"/>
      <c r="T278"/>
    </row>
    <row r="279" spans="2:20" ht="13.5" customHeight="1" x14ac:dyDescent="0.3">
      <c r="B279" s="14" t="s">
        <v>27</v>
      </c>
      <c r="C279" s="20">
        <v>1</v>
      </c>
      <c r="D279" s="16" t="s">
        <v>124</v>
      </c>
      <c r="E279" s="14">
        <v>2015</v>
      </c>
      <c r="F279" s="14" t="s">
        <v>26</v>
      </c>
      <c r="G279" s="14" t="s">
        <v>50</v>
      </c>
      <c r="H279" s="14" t="s">
        <v>125</v>
      </c>
      <c r="I279" s="17" t="s">
        <v>125</v>
      </c>
      <c r="J279" s="18">
        <v>14</v>
      </c>
      <c r="K279" s="19" t="s">
        <v>24</v>
      </c>
      <c r="L279" s="25" t="s">
        <v>647</v>
      </c>
      <c r="M279" s="16" t="s">
        <v>135</v>
      </c>
      <c r="N279" s="15">
        <v>828</v>
      </c>
      <c r="O279" s="28"/>
      <c r="S279"/>
      <c r="T279"/>
    </row>
    <row r="280" spans="2:20" ht="13.5" customHeight="1" x14ac:dyDescent="0.3">
      <c r="B280" s="14" t="s">
        <v>23</v>
      </c>
      <c r="C280" s="20">
        <v>1</v>
      </c>
      <c r="D280" s="16" t="s">
        <v>255</v>
      </c>
      <c r="E280" s="14">
        <v>2003</v>
      </c>
      <c r="F280" s="14" t="s">
        <v>26</v>
      </c>
      <c r="G280" s="14" t="s">
        <v>50</v>
      </c>
      <c r="H280" s="14" t="s">
        <v>125</v>
      </c>
      <c r="I280" s="17" t="s">
        <v>125</v>
      </c>
      <c r="J280" s="18">
        <v>6</v>
      </c>
      <c r="K280" s="19" t="s">
        <v>24</v>
      </c>
      <c r="L280" s="25" t="s">
        <v>640</v>
      </c>
      <c r="M280" s="16" t="s">
        <v>217</v>
      </c>
      <c r="N280" s="15">
        <v>203</v>
      </c>
      <c r="O280" s="28"/>
      <c r="S280"/>
      <c r="T280"/>
    </row>
    <row r="281" spans="2:20" ht="13.5" customHeight="1" x14ac:dyDescent="0.3">
      <c r="B281" s="14" t="s">
        <v>23</v>
      </c>
      <c r="C281" s="20">
        <v>1</v>
      </c>
      <c r="D281" s="16" t="s">
        <v>439</v>
      </c>
      <c r="E281" s="14">
        <v>2002</v>
      </c>
      <c r="F281" s="14" t="s">
        <v>26</v>
      </c>
      <c r="G281" s="14" t="s">
        <v>50</v>
      </c>
      <c r="H281" s="14" t="s">
        <v>270</v>
      </c>
      <c r="I281" s="17" t="s">
        <v>270</v>
      </c>
      <c r="J281" s="18">
        <v>20</v>
      </c>
      <c r="K281" s="19" t="s">
        <v>24</v>
      </c>
      <c r="L281" s="25" t="s">
        <v>640</v>
      </c>
      <c r="M281" s="16" t="s">
        <v>507</v>
      </c>
      <c r="N281" s="15">
        <v>928</v>
      </c>
      <c r="O281" s="28"/>
      <c r="S281"/>
      <c r="T281"/>
    </row>
    <row r="282" spans="2:20" ht="13.5" customHeight="1" x14ac:dyDescent="0.3">
      <c r="B282" s="14" t="s">
        <v>23</v>
      </c>
      <c r="C282" s="20">
        <v>1</v>
      </c>
      <c r="D282" s="16" t="s">
        <v>440</v>
      </c>
      <c r="E282" s="14">
        <v>2021</v>
      </c>
      <c r="F282" s="14" t="s">
        <v>26</v>
      </c>
      <c r="G282" s="14" t="s">
        <v>50</v>
      </c>
      <c r="H282" s="14" t="s">
        <v>28</v>
      </c>
      <c r="I282" s="17" t="s">
        <v>28</v>
      </c>
      <c r="J282" s="18">
        <v>4</v>
      </c>
      <c r="K282" s="19" t="s">
        <v>24</v>
      </c>
      <c r="L282" s="25" t="s">
        <v>640</v>
      </c>
      <c r="M282" s="16" t="s">
        <v>508</v>
      </c>
      <c r="N282" s="15">
        <v>183</v>
      </c>
      <c r="O282" s="28"/>
      <c r="S282"/>
      <c r="T282"/>
    </row>
    <row r="283" spans="2:20" ht="13.5" customHeight="1" x14ac:dyDescent="0.3">
      <c r="B283" s="14" t="s">
        <v>23</v>
      </c>
      <c r="C283" s="20">
        <v>1</v>
      </c>
      <c r="D283" s="16" t="s">
        <v>323</v>
      </c>
      <c r="E283" s="14" t="s">
        <v>63</v>
      </c>
      <c r="F283" s="14" t="s">
        <v>26</v>
      </c>
      <c r="G283" s="14" t="s">
        <v>248</v>
      </c>
      <c r="H283" s="14" t="s">
        <v>324</v>
      </c>
      <c r="I283" s="17" t="s">
        <v>324</v>
      </c>
      <c r="J283" s="18">
        <v>44</v>
      </c>
      <c r="K283" s="19" t="s">
        <v>24</v>
      </c>
      <c r="L283" s="25" t="s">
        <v>640</v>
      </c>
      <c r="M283" s="16" t="s">
        <v>344</v>
      </c>
      <c r="N283" s="15">
        <v>1926</v>
      </c>
      <c r="O283" s="28"/>
      <c r="S283"/>
      <c r="T283"/>
    </row>
    <row r="284" spans="2:20" ht="13.5" customHeight="1" x14ac:dyDescent="0.3">
      <c r="B284" s="14" t="s">
        <v>23</v>
      </c>
      <c r="C284" s="20">
        <v>1</v>
      </c>
      <c r="D284" s="16" t="s">
        <v>441</v>
      </c>
      <c r="E284" s="14" t="s">
        <v>63</v>
      </c>
      <c r="F284" s="14" t="s">
        <v>26</v>
      </c>
      <c r="G284" s="14" t="s">
        <v>50</v>
      </c>
      <c r="H284" s="14" t="s">
        <v>91</v>
      </c>
      <c r="I284" s="17" t="s">
        <v>91</v>
      </c>
      <c r="J284" s="18">
        <v>6</v>
      </c>
      <c r="K284" s="19" t="s">
        <v>24</v>
      </c>
      <c r="L284" s="25" t="s">
        <v>640</v>
      </c>
      <c r="M284" s="16" t="s">
        <v>509</v>
      </c>
      <c r="N284" s="15">
        <v>232</v>
      </c>
      <c r="O284" s="28"/>
      <c r="S284"/>
      <c r="T284"/>
    </row>
    <row r="285" spans="2:20" ht="13.5" customHeight="1" x14ac:dyDescent="0.3">
      <c r="B285" s="14" t="s">
        <v>23</v>
      </c>
      <c r="C285" s="20">
        <v>1</v>
      </c>
      <c r="D285" s="16" t="s">
        <v>183</v>
      </c>
      <c r="E285" s="14">
        <v>2014</v>
      </c>
      <c r="F285" s="14" t="s">
        <v>26</v>
      </c>
      <c r="G285" s="14" t="s">
        <v>57</v>
      </c>
      <c r="H285" s="14" t="s">
        <v>184</v>
      </c>
      <c r="I285" s="17" t="s">
        <v>184</v>
      </c>
      <c r="J285" s="18">
        <v>19</v>
      </c>
      <c r="K285" s="19" t="s">
        <v>24</v>
      </c>
      <c r="L285" s="25" t="s">
        <v>640</v>
      </c>
      <c r="M285" s="16" t="s">
        <v>222</v>
      </c>
      <c r="N285" s="15">
        <v>636</v>
      </c>
      <c r="O285" s="28"/>
      <c r="S285"/>
      <c r="T285"/>
    </row>
    <row r="286" spans="2:20" ht="13.5" customHeight="1" x14ac:dyDescent="0.3">
      <c r="B286" s="14" t="s">
        <v>23</v>
      </c>
      <c r="C286" s="20">
        <v>1</v>
      </c>
      <c r="D286" s="16" t="s">
        <v>256</v>
      </c>
      <c r="E286" s="14">
        <v>1992</v>
      </c>
      <c r="F286" s="14" t="s">
        <v>26</v>
      </c>
      <c r="G286" s="14" t="s">
        <v>95</v>
      </c>
      <c r="H286" s="14" t="s">
        <v>96</v>
      </c>
      <c r="I286" s="17" t="s">
        <v>96</v>
      </c>
      <c r="J286" s="18">
        <v>27</v>
      </c>
      <c r="K286" s="19" t="s">
        <v>24</v>
      </c>
      <c r="L286" s="25" t="s">
        <v>640</v>
      </c>
      <c r="M286" s="16" t="s">
        <v>293</v>
      </c>
      <c r="N286" s="15">
        <v>1038</v>
      </c>
      <c r="O286" s="28"/>
      <c r="S286"/>
      <c r="T286"/>
    </row>
    <row r="287" spans="2:20" ht="13.5" customHeight="1" x14ac:dyDescent="0.3">
      <c r="B287" s="14" t="s">
        <v>23</v>
      </c>
      <c r="C287" s="20">
        <v>1</v>
      </c>
      <c r="D287" s="16" t="s">
        <v>185</v>
      </c>
      <c r="E287" s="14">
        <v>2008</v>
      </c>
      <c r="F287" s="14" t="s">
        <v>26</v>
      </c>
      <c r="G287" s="14" t="s">
        <v>97</v>
      </c>
      <c r="H287" s="14" t="s">
        <v>186</v>
      </c>
      <c r="I287" s="17" t="s">
        <v>186</v>
      </c>
      <c r="J287" s="18">
        <v>100</v>
      </c>
      <c r="K287" s="19" t="s">
        <v>24</v>
      </c>
      <c r="L287" s="25" t="s">
        <v>648</v>
      </c>
      <c r="M287" s="16" t="s">
        <v>223</v>
      </c>
      <c r="N287" s="15">
        <v>3853</v>
      </c>
      <c r="O287" s="28"/>
      <c r="S287"/>
      <c r="T287"/>
    </row>
    <row r="288" spans="2:20" ht="13.5" customHeight="1" x14ac:dyDescent="0.3">
      <c r="B288" s="14" t="s">
        <v>23</v>
      </c>
      <c r="C288" s="20">
        <v>1</v>
      </c>
      <c r="D288" s="16" t="s">
        <v>257</v>
      </c>
      <c r="E288" s="14">
        <v>2022</v>
      </c>
      <c r="F288" s="14" t="s">
        <v>26</v>
      </c>
      <c r="G288" s="14" t="s">
        <v>87</v>
      </c>
      <c r="H288" s="14" t="s">
        <v>88</v>
      </c>
      <c r="I288" s="17" t="s">
        <v>88</v>
      </c>
      <c r="J288" s="18">
        <v>11</v>
      </c>
      <c r="K288" s="19" t="s">
        <v>24</v>
      </c>
      <c r="L288" s="25" t="s">
        <v>640</v>
      </c>
      <c r="M288" s="16" t="s">
        <v>294</v>
      </c>
      <c r="N288" s="15">
        <v>624</v>
      </c>
      <c r="O288" s="28"/>
      <c r="S288"/>
      <c r="T288"/>
    </row>
    <row r="289" spans="2:20" ht="13.5" customHeight="1" x14ac:dyDescent="0.3">
      <c r="B289" s="14" t="s">
        <v>30</v>
      </c>
      <c r="C289" s="20">
        <v>1</v>
      </c>
      <c r="D289" s="16" t="s">
        <v>325</v>
      </c>
      <c r="E289" s="14">
        <v>2003</v>
      </c>
      <c r="F289" s="14" t="s">
        <v>26</v>
      </c>
      <c r="G289" s="14" t="s">
        <v>97</v>
      </c>
      <c r="H289" s="14" t="s">
        <v>326</v>
      </c>
      <c r="I289" s="17" t="s">
        <v>326</v>
      </c>
      <c r="J289" s="18">
        <v>22</v>
      </c>
      <c r="K289" s="19" t="s">
        <v>24</v>
      </c>
      <c r="L289" s="25" t="s">
        <v>640</v>
      </c>
      <c r="M289" s="16" t="s">
        <v>345</v>
      </c>
      <c r="N289" s="15">
        <v>840</v>
      </c>
      <c r="O289" s="28"/>
      <c r="S289"/>
      <c r="T289"/>
    </row>
    <row r="290" spans="2:20" ht="13.5" customHeight="1" x14ac:dyDescent="0.3">
      <c r="B290" s="14" t="s">
        <v>23</v>
      </c>
      <c r="C290" s="20">
        <v>1</v>
      </c>
      <c r="D290" s="16" t="s">
        <v>442</v>
      </c>
      <c r="E290" s="14">
        <v>2022</v>
      </c>
      <c r="F290" s="14" t="s">
        <v>26</v>
      </c>
      <c r="G290" s="14" t="s">
        <v>443</v>
      </c>
      <c r="H290" s="14" t="s">
        <v>444</v>
      </c>
      <c r="I290" s="17" t="s">
        <v>444</v>
      </c>
      <c r="J290" s="18">
        <v>12</v>
      </c>
      <c r="K290" s="19" t="s">
        <v>24</v>
      </c>
      <c r="L290" s="25" t="s">
        <v>640</v>
      </c>
      <c r="M290" s="16" t="s">
        <v>510</v>
      </c>
      <c r="N290" s="15">
        <v>508</v>
      </c>
      <c r="O290" s="28"/>
      <c r="S290"/>
      <c r="T290"/>
    </row>
    <row r="291" spans="2:20" ht="13.5" customHeight="1" x14ac:dyDescent="0.3">
      <c r="B291" s="14" t="s">
        <v>23</v>
      </c>
      <c r="C291" s="20">
        <v>1</v>
      </c>
      <c r="D291" s="16" t="s">
        <v>258</v>
      </c>
      <c r="E291" s="14">
        <v>2022</v>
      </c>
      <c r="F291" s="14" t="s">
        <v>26</v>
      </c>
      <c r="G291" s="14" t="s">
        <v>259</v>
      </c>
      <c r="H291" s="14" t="s">
        <v>260</v>
      </c>
      <c r="I291" s="17" t="s">
        <v>260</v>
      </c>
      <c r="J291" s="18">
        <v>80</v>
      </c>
      <c r="K291" s="19" t="s">
        <v>24</v>
      </c>
      <c r="L291" s="25" t="s">
        <v>640</v>
      </c>
      <c r="M291" s="16" t="s">
        <v>295</v>
      </c>
      <c r="N291" s="15">
        <v>2616</v>
      </c>
      <c r="O291" s="28"/>
      <c r="S291"/>
      <c r="T291"/>
    </row>
    <row r="292" spans="2:20" ht="13.5" customHeight="1" x14ac:dyDescent="0.3">
      <c r="B292" s="14" t="s">
        <v>23</v>
      </c>
      <c r="C292" s="20">
        <v>1</v>
      </c>
      <c r="D292" s="16" t="s">
        <v>327</v>
      </c>
      <c r="E292" s="14">
        <v>2022</v>
      </c>
      <c r="F292" s="14" t="s">
        <v>26</v>
      </c>
      <c r="G292" s="14" t="s">
        <v>259</v>
      </c>
      <c r="H292" s="14" t="s">
        <v>328</v>
      </c>
      <c r="I292" s="17" t="s">
        <v>328</v>
      </c>
      <c r="J292" s="18">
        <v>33</v>
      </c>
      <c r="K292" s="19" t="s">
        <v>24</v>
      </c>
      <c r="L292" s="25" t="s">
        <v>640</v>
      </c>
      <c r="M292" s="16" t="s">
        <v>346</v>
      </c>
      <c r="N292" s="15">
        <v>1401</v>
      </c>
      <c r="O292" s="28"/>
      <c r="S292"/>
      <c r="T292"/>
    </row>
    <row r="293" spans="2:20" ht="13.5" customHeight="1" x14ac:dyDescent="0.3">
      <c r="B293" s="14" t="s">
        <v>23</v>
      </c>
      <c r="C293" s="20">
        <v>1</v>
      </c>
      <c r="D293" s="16" t="s">
        <v>261</v>
      </c>
      <c r="E293" s="14">
        <v>2020</v>
      </c>
      <c r="F293" s="14" t="s">
        <v>26</v>
      </c>
      <c r="G293" s="14" t="s">
        <v>50</v>
      </c>
      <c r="H293" s="14" t="s">
        <v>91</v>
      </c>
      <c r="I293" s="17" t="s">
        <v>91</v>
      </c>
      <c r="J293" s="18">
        <v>5</v>
      </c>
      <c r="K293" s="19" t="s">
        <v>24</v>
      </c>
      <c r="L293" s="25" t="s">
        <v>648</v>
      </c>
      <c r="M293" s="16" t="s">
        <v>296</v>
      </c>
      <c r="N293" s="15">
        <v>56</v>
      </c>
      <c r="O293" s="28"/>
      <c r="S293"/>
      <c r="T293"/>
    </row>
    <row r="294" spans="2:20" ht="13.5" customHeight="1" x14ac:dyDescent="0.3">
      <c r="B294" s="14" t="s">
        <v>23</v>
      </c>
      <c r="C294" s="20">
        <v>1</v>
      </c>
      <c r="D294" s="16" t="s">
        <v>603</v>
      </c>
      <c r="E294" s="14">
        <v>2023</v>
      </c>
      <c r="F294" s="14" t="s">
        <v>26</v>
      </c>
      <c r="G294" s="14" t="s">
        <v>433</v>
      </c>
      <c r="H294" s="14" t="s">
        <v>445</v>
      </c>
      <c r="I294" s="17" t="s">
        <v>446</v>
      </c>
      <c r="J294" s="18">
        <v>39</v>
      </c>
      <c r="K294" s="19" t="s">
        <v>24</v>
      </c>
      <c r="L294" s="25" t="s">
        <v>640</v>
      </c>
      <c r="M294" s="16" t="s">
        <v>639</v>
      </c>
      <c r="N294" s="15">
        <v>1500</v>
      </c>
      <c r="O294" s="28"/>
      <c r="S294"/>
      <c r="T294"/>
    </row>
    <row r="295" spans="2:20" ht="13.5" customHeight="1" x14ac:dyDescent="0.3">
      <c r="B295" s="14" t="s">
        <v>23</v>
      </c>
      <c r="C295" s="20">
        <v>1</v>
      </c>
      <c r="D295" s="16" t="s">
        <v>262</v>
      </c>
      <c r="E295" s="14">
        <v>2023</v>
      </c>
      <c r="F295" s="14" t="s">
        <v>26</v>
      </c>
      <c r="G295" s="14" t="s">
        <v>259</v>
      </c>
      <c r="H295" s="14" t="s">
        <v>263</v>
      </c>
      <c r="I295" s="17" t="s">
        <v>263</v>
      </c>
      <c r="J295" s="18">
        <v>17</v>
      </c>
      <c r="K295" s="19" t="s">
        <v>24</v>
      </c>
      <c r="L295" s="25" t="s">
        <v>640</v>
      </c>
      <c r="M295" s="16" t="s">
        <v>297</v>
      </c>
      <c r="N295" s="15">
        <v>935</v>
      </c>
      <c r="O295" s="28"/>
      <c r="S295"/>
      <c r="T295"/>
    </row>
    <row r="296" spans="2:20" ht="13.5" customHeight="1" x14ac:dyDescent="0.3">
      <c r="B296" s="14" t="s">
        <v>23</v>
      </c>
      <c r="C296" s="20">
        <v>1</v>
      </c>
      <c r="D296" s="16" t="s">
        <v>329</v>
      </c>
      <c r="E296" s="14">
        <v>2019</v>
      </c>
      <c r="F296" s="14" t="s">
        <v>26</v>
      </c>
      <c r="G296" s="14" t="s">
        <v>50</v>
      </c>
      <c r="H296" s="14" t="s">
        <v>250</v>
      </c>
      <c r="I296" s="17" t="s">
        <v>250</v>
      </c>
      <c r="J296" s="18">
        <v>33</v>
      </c>
      <c r="K296" s="19" t="s">
        <v>24</v>
      </c>
      <c r="L296" s="25" t="s">
        <v>645</v>
      </c>
      <c r="M296" s="16" t="s">
        <v>347</v>
      </c>
      <c r="N296" s="15">
        <v>1422</v>
      </c>
      <c r="O296" s="28"/>
      <c r="S296"/>
      <c r="T296"/>
    </row>
    <row r="297" spans="2:20" ht="13.5" customHeight="1" x14ac:dyDescent="0.3">
      <c r="B297" s="14" t="s">
        <v>27</v>
      </c>
      <c r="C297" s="20">
        <v>1</v>
      </c>
      <c r="D297" s="16" t="s">
        <v>447</v>
      </c>
      <c r="E297" s="14">
        <v>1996</v>
      </c>
      <c r="F297" s="14" t="s">
        <v>26</v>
      </c>
      <c r="G297" s="14" t="s">
        <v>50</v>
      </c>
      <c r="H297" s="14" t="s">
        <v>91</v>
      </c>
      <c r="I297" s="17" t="s">
        <v>91</v>
      </c>
      <c r="J297" s="18">
        <v>4</v>
      </c>
      <c r="K297" s="19" t="s">
        <v>24</v>
      </c>
      <c r="L297" s="25" t="s">
        <v>640</v>
      </c>
      <c r="M297" s="16">
        <v>34</v>
      </c>
      <c r="N297" s="15">
        <v>548</v>
      </c>
      <c r="O297" s="28"/>
      <c r="S297"/>
      <c r="T297"/>
    </row>
    <row r="298" spans="2:20" ht="13.5" customHeight="1" x14ac:dyDescent="0.3">
      <c r="B298" s="14" t="s">
        <v>23</v>
      </c>
      <c r="C298" s="20">
        <v>1</v>
      </c>
      <c r="D298" s="26" t="s">
        <v>330</v>
      </c>
      <c r="E298" s="14">
        <v>2023</v>
      </c>
      <c r="F298" s="14" t="s">
        <v>26</v>
      </c>
      <c r="G298" s="14" t="s">
        <v>50</v>
      </c>
      <c r="H298" s="14" t="s">
        <v>250</v>
      </c>
      <c r="I298" s="17" t="s">
        <v>250</v>
      </c>
      <c r="J298" s="18">
        <v>21</v>
      </c>
      <c r="K298" s="19" t="s">
        <v>24</v>
      </c>
      <c r="L298" s="25" t="s">
        <v>640</v>
      </c>
      <c r="M298" s="16" t="s">
        <v>348</v>
      </c>
      <c r="N298" s="15">
        <v>852</v>
      </c>
      <c r="O298" s="28"/>
      <c r="S298"/>
      <c r="T298"/>
    </row>
    <row r="299" spans="2:20" ht="13.5" customHeight="1" x14ac:dyDescent="0.3">
      <c r="B299" s="14" t="s">
        <v>23</v>
      </c>
      <c r="C299" s="20">
        <v>1</v>
      </c>
      <c r="D299" s="26" t="s">
        <v>448</v>
      </c>
      <c r="E299" s="14">
        <v>2022</v>
      </c>
      <c r="F299" s="14" t="s">
        <v>26</v>
      </c>
      <c r="G299" s="14" t="s">
        <v>259</v>
      </c>
      <c r="H299" s="14" t="s">
        <v>425</v>
      </c>
      <c r="I299" s="17" t="s">
        <v>425</v>
      </c>
      <c r="J299" s="18">
        <v>15</v>
      </c>
      <c r="K299" s="19" t="s">
        <v>24</v>
      </c>
      <c r="L299" s="25" t="s">
        <v>640</v>
      </c>
      <c r="M299" s="16" t="s">
        <v>489</v>
      </c>
      <c r="N299" s="15">
        <v>835</v>
      </c>
      <c r="O299" s="28"/>
      <c r="S299"/>
      <c r="T299"/>
    </row>
    <row r="300" spans="2:20" ht="13.5" customHeight="1" x14ac:dyDescent="0.3">
      <c r="B300" s="14" t="s">
        <v>23</v>
      </c>
      <c r="C300" s="20">
        <v>1</v>
      </c>
      <c r="D300" s="26" t="s">
        <v>187</v>
      </c>
      <c r="E300" s="14">
        <v>2014</v>
      </c>
      <c r="F300" s="14" t="s">
        <v>26</v>
      </c>
      <c r="G300" s="14" t="s">
        <v>50</v>
      </c>
      <c r="H300" s="14" t="s">
        <v>188</v>
      </c>
      <c r="I300" s="17" t="s">
        <v>188</v>
      </c>
      <c r="J300" s="18">
        <v>39</v>
      </c>
      <c r="K300" s="19" t="s">
        <v>24</v>
      </c>
      <c r="L300" s="25" t="s">
        <v>648</v>
      </c>
      <c r="M300" s="16" t="s">
        <v>224</v>
      </c>
      <c r="N300" s="15">
        <v>1564</v>
      </c>
      <c r="O300" s="28"/>
      <c r="S300"/>
      <c r="T300"/>
    </row>
    <row r="301" spans="2:20" ht="13.5" customHeight="1" x14ac:dyDescent="0.3">
      <c r="B301" s="14" t="s">
        <v>23</v>
      </c>
      <c r="C301" s="20">
        <v>1</v>
      </c>
      <c r="D301" s="26" t="s">
        <v>98</v>
      </c>
      <c r="E301" s="14">
        <v>1998</v>
      </c>
      <c r="F301" s="14" t="s">
        <v>26</v>
      </c>
      <c r="G301" s="14" t="s">
        <v>95</v>
      </c>
      <c r="H301" s="14" t="s">
        <v>99</v>
      </c>
      <c r="I301" s="17" t="s">
        <v>99</v>
      </c>
      <c r="J301" s="18">
        <v>27</v>
      </c>
      <c r="K301" s="19" t="s">
        <v>24</v>
      </c>
      <c r="L301" s="25" t="s">
        <v>1010</v>
      </c>
      <c r="M301" s="16" t="s">
        <v>108</v>
      </c>
      <c r="N301" s="15">
        <v>913</v>
      </c>
      <c r="O301" s="28"/>
      <c r="S301"/>
      <c r="T301"/>
    </row>
    <row r="302" spans="2:20" ht="13.5" customHeight="1" x14ac:dyDescent="0.3">
      <c r="B302" s="14" t="s">
        <v>30</v>
      </c>
      <c r="C302" s="20">
        <v>1</v>
      </c>
      <c r="D302" s="26" t="s">
        <v>264</v>
      </c>
      <c r="E302" s="14">
        <v>2021</v>
      </c>
      <c r="F302" s="14" t="s">
        <v>26</v>
      </c>
      <c r="G302" s="14" t="s">
        <v>50</v>
      </c>
      <c r="H302" s="14" t="s">
        <v>91</v>
      </c>
      <c r="I302" s="17" t="s">
        <v>91</v>
      </c>
      <c r="J302" s="18">
        <v>12</v>
      </c>
      <c r="K302" s="19" t="s">
        <v>24</v>
      </c>
      <c r="L302" s="25" t="s">
        <v>645</v>
      </c>
      <c r="M302" s="16" t="s">
        <v>298</v>
      </c>
      <c r="N302" s="15">
        <v>466</v>
      </c>
      <c r="O302" s="28"/>
      <c r="S302"/>
      <c r="T302"/>
    </row>
    <row r="303" spans="2:20" ht="13.5" customHeight="1" x14ac:dyDescent="0.3">
      <c r="B303" s="14" t="s">
        <v>23</v>
      </c>
      <c r="C303" s="20">
        <v>1</v>
      </c>
      <c r="D303" s="26" t="s">
        <v>449</v>
      </c>
      <c r="E303" s="14">
        <v>2009</v>
      </c>
      <c r="F303" s="14" t="s">
        <v>26</v>
      </c>
      <c r="G303" s="14" t="s">
        <v>259</v>
      </c>
      <c r="H303" s="14" t="s">
        <v>450</v>
      </c>
      <c r="I303" s="17" t="s">
        <v>328</v>
      </c>
      <c r="J303" s="18">
        <v>50</v>
      </c>
      <c r="K303" s="19" t="s">
        <v>24</v>
      </c>
      <c r="L303" s="25" t="s">
        <v>640</v>
      </c>
      <c r="M303" s="16" t="s">
        <v>511</v>
      </c>
      <c r="N303" s="15">
        <v>1862</v>
      </c>
      <c r="O303" s="28"/>
      <c r="S303"/>
      <c r="T303"/>
    </row>
    <row r="304" spans="2:20" ht="13.5" customHeight="1" x14ac:dyDescent="0.3">
      <c r="B304" s="14" t="s">
        <v>23</v>
      </c>
      <c r="C304" s="20">
        <v>1</v>
      </c>
      <c r="D304" s="26" t="s">
        <v>451</v>
      </c>
      <c r="E304" s="14">
        <v>1999</v>
      </c>
      <c r="F304" s="14" t="s">
        <v>26</v>
      </c>
      <c r="G304" s="14" t="s">
        <v>50</v>
      </c>
      <c r="H304" s="14" t="s">
        <v>188</v>
      </c>
      <c r="I304" s="17" t="s">
        <v>188</v>
      </c>
      <c r="J304" s="18">
        <v>10</v>
      </c>
      <c r="K304" s="19" t="s">
        <v>24</v>
      </c>
      <c r="L304" s="25" t="s">
        <v>640</v>
      </c>
      <c r="M304" s="16" t="s">
        <v>512</v>
      </c>
      <c r="N304" s="15">
        <v>464</v>
      </c>
      <c r="O304" s="28"/>
      <c r="S304"/>
      <c r="T304"/>
    </row>
    <row r="305" spans="2:20" ht="13.5" customHeight="1" x14ac:dyDescent="0.3">
      <c r="B305" s="14" t="s">
        <v>23</v>
      </c>
      <c r="C305" s="20">
        <v>1</v>
      </c>
      <c r="D305" s="26" t="s">
        <v>851</v>
      </c>
      <c r="E305" s="14">
        <v>2010</v>
      </c>
      <c r="F305" s="14" t="s">
        <v>26</v>
      </c>
      <c r="G305" s="14" t="s">
        <v>93</v>
      </c>
      <c r="H305" s="14" t="s">
        <v>181</v>
      </c>
      <c r="I305" s="17" t="s">
        <v>181</v>
      </c>
      <c r="J305" s="18">
        <v>24</v>
      </c>
      <c r="K305" s="19" t="s">
        <v>24</v>
      </c>
      <c r="L305" s="25" t="s">
        <v>640</v>
      </c>
      <c r="M305" s="16" t="s">
        <v>985</v>
      </c>
      <c r="N305" s="15">
        <v>965</v>
      </c>
      <c r="O305" s="28"/>
      <c r="S305"/>
      <c r="T305"/>
    </row>
    <row r="306" spans="2:20" ht="13.5" customHeight="1" x14ac:dyDescent="0.3">
      <c r="B306" s="14" t="s">
        <v>23</v>
      </c>
      <c r="C306" s="20">
        <v>1</v>
      </c>
      <c r="D306" s="26" t="s">
        <v>331</v>
      </c>
      <c r="E306" s="14">
        <v>2023</v>
      </c>
      <c r="F306" s="14" t="s">
        <v>26</v>
      </c>
      <c r="G306" s="14" t="s">
        <v>97</v>
      </c>
      <c r="H306" s="14" t="s">
        <v>254</v>
      </c>
      <c r="I306" s="17" t="s">
        <v>254</v>
      </c>
      <c r="J306" s="18">
        <v>16</v>
      </c>
      <c r="K306" s="19" t="s">
        <v>24</v>
      </c>
      <c r="L306" s="25" t="s">
        <v>648</v>
      </c>
      <c r="M306" s="16" t="s">
        <v>349</v>
      </c>
      <c r="N306" s="15">
        <v>671</v>
      </c>
      <c r="O306" s="28"/>
      <c r="S306"/>
      <c r="T306"/>
    </row>
    <row r="307" spans="2:20" ht="13.5" customHeight="1" x14ac:dyDescent="0.3">
      <c r="B307" s="14" t="s">
        <v>23</v>
      </c>
      <c r="C307" s="20">
        <v>1</v>
      </c>
      <c r="D307" s="26" t="s">
        <v>100</v>
      </c>
      <c r="E307" s="14">
        <v>2016</v>
      </c>
      <c r="F307" s="14" t="s">
        <v>26</v>
      </c>
      <c r="G307" s="14" t="s">
        <v>97</v>
      </c>
      <c r="H307" s="14" t="s">
        <v>101</v>
      </c>
      <c r="I307" s="17" t="s">
        <v>101</v>
      </c>
      <c r="J307" s="18">
        <v>21</v>
      </c>
      <c r="K307" s="19" t="s">
        <v>24</v>
      </c>
      <c r="L307" s="25" t="s">
        <v>640</v>
      </c>
      <c r="M307" s="16" t="s">
        <v>109</v>
      </c>
      <c r="N307" s="15">
        <v>999</v>
      </c>
      <c r="O307" s="28" t="s">
        <v>29</v>
      </c>
      <c r="S307"/>
      <c r="T307"/>
    </row>
    <row r="308" spans="2:20" ht="13.5" customHeight="1" x14ac:dyDescent="0.3">
      <c r="B308" s="14" t="s">
        <v>27</v>
      </c>
      <c r="C308" s="20">
        <v>1</v>
      </c>
      <c r="D308" s="26" t="s">
        <v>265</v>
      </c>
      <c r="E308" s="14">
        <v>2013</v>
      </c>
      <c r="F308" s="14" t="s">
        <v>26</v>
      </c>
      <c r="G308" s="14" t="s">
        <v>50</v>
      </c>
      <c r="H308" s="14" t="s">
        <v>28</v>
      </c>
      <c r="I308" s="17" t="s">
        <v>28</v>
      </c>
      <c r="J308" s="18">
        <v>6</v>
      </c>
      <c r="K308" s="19" t="s">
        <v>24</v>
      </c>
      <c r="L308" s="25" t="s">
        <v>644</v>
      </c>
      <c r="M308" s="16" t="s">
        <v>299</v>
      </c>
      <c r="N308" s="15">
        <v>142</v>
      </c>
      <c r="O308" s="28" t="s">
        <v>29</v>
      </c>
      <c r="S308"/>
      <c r="T308"/>
    </row>
    <row r="309" spans="2:20" ht="13.5" customHeight="1" x14ac:dyDescent="0.3">
      <c r="B309" s="14" t="s">
        <v>23</v>
      </c>
      <c r="C309" s="20">
        <v>1</v>
      </c>
      <c r="D309" s="26" t="s">
        <v>452</v>
      </c>
      <c r="E309" s="14">
        <v>1995</v>
      </c>
      <c r="F309" s="14" t="s">
        <v>26</v>
      </c>
      <c r="G309" s="14" t="s">
        <v>412</v>
      </c>
      <c r="H309" s="14" t="s">
        <v>425</v>
      </c>
      <c r="I309" s="17" t="s">
        <v>425</v>
      </c>
      <c r="J309" s="18">
        <v>19</v>
      </c>
      <c r="K309" s="19" t="s">
        <v>24</v>
      </c>
      <c r="L309" s="25" t="s">
        <v>640</v>
      </c>
      <c r="M309" s="16" t="s">
        <v>513</v>
      </c>
      <c r="N309" s="15">
        <v>894</v>
      </c>
      <c r="O309" s="28" t="s">
        <v>29</v>
      </c>
      <c r="S309"/>
      <c r="T309"/>
    </row>
    <row r="310" spans="2:20" ht="13.5" customHeight="1" x14ac:dyDescent="0.3">
      <c r="B310" s="14" t="s">
        <v>23</v>
      </c>
      <c r="C310" s="20">
        <v>1</v>
      </c>
      <c r="D310" s="27" t="s">
        <v>266</v>
      </c>
      <c r="E310" s="14">
        <v>2003</v>
      </c>
      <c r="F310" s="14" t="s">
        <v>26</v>
      </c>
      <c r="G310" s="14" t="s">
        <v>97</v>
      </c>
      <c r="H310" s="14" t="s">
        <v>186</v>
      </c>
      <c r="I310" s="17" t="s">
        <v>186</v>
      </c>
      <c r="J310" s="18">
        <v>14</v>
      </c>
      <c r="K310" s="19" t="s">
        <v>24</v>
      </c>
      <c r="L310" s="25" t="s">
        <v>640</v>
      </c>
      <c r="M310" s="16" t="s">
        <v>281</v>
      </c>
      <c r="N310" s="15">
        <v>497</v>
      </c>
      <c r="O310" s="28" t="s">
        <v>29</v>
      </c>
      <c r="S310"/>
      <c r="T310"/>
    </row>
    <row r="311" spans="2:20" ht="13.5" customHeight="1" x14ac:dyDescent="0.3">
      <c r="B311" s="14" t="s">
        <v>23</v>
      </c>
      <c r="C311" s="20">
        <v>1</v>
      </c>
      <c r="D311" s="16" t="s">
        <v>267</v>
      </c>
      <c r="E311" s="14">
        <v>2009</v>
      </c>
      <c r="F311" s="14" t="s">
        <v>26</v>
      </c>
      <c r="G311" s="14" t="s">
        <v>57</v>
      </c>
      <c r="H311" s="14" t="s">
        <v>268</v>
      </c>
      <c r="I311" s="17" t="s">
        <v>268</v>
      </c>
      <c r="J311" s="18">
        <v>10</v>
      </c>
      <c r="K311" s="19" t="s">
        <v>24</v>
      </c>
      <c r="L311" s="25" t="s">
        <v>640</v>
      </c>
      <c r="M311" s="16" t="s">
        <v>300</v>
      </c>
      <c r="N311" s="15">
        <v>402</v>
      </c>
      <c r="O311" s="28" t="s">
        <v>29</v>
      </c>
      <c r="S311"/>
      <c r="T311"/>
    </row>
    <row r="312" spans="2:20" ht="13.5" customHeight="1" x14ac:dyDescent="0.3">
      <c r="B312" s="14" t="s">
        <v>23</v>
      </c>
      <c r="C312" s="20">
        <v>1</v>
      </c>
      <c r="D312" s="16" t="s">
        <v>269</v>
      </c>
      <c r="E312" s="14">
        <v>2003</v>
      </c>
      <c r="F312" s="14" t="s">
        <v>26</v>
      </c>
      <c r="G312" s="14" t="s">
        <v>50</v>
      </c>
      <c r="H312" s="14" t="s">
        <v>270</v>
      </c>
      <c r="I312" s="17" t="s">
        <v>270</v>
      </c>
      <c r="J312" s="18">
        <v>29</v>
      </c>
      <c r="K312" s="19" t="s">
        <v>24</v>
      </c>
      <c r="L312" s="25" t="s">
        <v>644</v>
      </c>
      <c r="M312" s="16" t="s">
        <v>193</v>
      </c>
      <c r="N312" s="15">
        <v>260</v>
      </c>
      <c r="O312" s="28" t="s">
        <v>29</v>
      </c>
      <c r="S312"/>
      <c r="T312"/>
    </row>
    <row r="313" spans="2:20" ht="13.5" customHeight="1" x14ac:dyDescent="0.3">
      <c r="B313" s="14" t="s">
        <v>23</v>
      </c>
      <c r="C313" s="20">
        <v>1</v>
      </c>
      <c r="D313" s="16" t="s">
        <v>189</v>
      </c>
      <c r="E313" s="14">
        <v>2019</v>
      </c>
      <c r="F313" s="14" t="s">
        <v>26</v>
      </c>
      <c r="G313" s="14" t="s">
        <v>87</v>
      </c>
      <c r="H313" s="14" t="s">
        <v>190</v>
      </c>
      <c r="I313" s="17" t="s">
        <v>190</v>
      </c>
      <c r="J313" s="18">
        <v>18</v>
      </c>
      <c r="K313" s="19" t="s">
        <v>24</v>
      </c>
      <c r="L313" s="25" t="s">
        <v>644</v>
      </c>
      <c r="M313" s="16" t="s">
        <v>225</v>
      </c>
      <c r="N313" s="15">
        <v>660</v>
      </c>
      <c r="O313" s="28" t="s">
        <v>29</v>
      </c>
      <c r="S313"/>
      <c r="T313"/>
    </row>
    <row r="314" spans="2:20" ht="13.5" customHeight="1" x14ac:dyDescent="0.3">
      <c r="B314" s="14" t="s">
        <v>23</v>
      </c>
      <c r="C314" s="20">
        <v>1</v>
      </c>
      <c r="D314" s="22" t="s">
        <v>453</v>
      </c>
      <c r="E314" s="14">
        <v>2000</v>
      </c>
      <c r="F314" s="14" t="s">
        <v>26</v>
      </c>
      <c r="G314" s="14" t="s">
        <v>50</v>
      </c>
      <c r="H314" s="14" t="s">
        <v>431</v>
      </c>
      <c r="I314" s="17" t="s">
        <v>431</v>
      </c>
      <c r="J314" s="18">
        <v>12</v>
      </c>
      <c r="K314" s="19" t="s">
        <v>24</v>
      </c>
      <c r="L314" s="25" t="s">
        <v>648</v>
      </c>
      <c r="M314" s="16" t="s">
        <v>514</v>
      </c>
      <c r="N314" s="15">
        <v>581</v>
      </c>
      <c r="O314" s="28"/>
      <c r="S314"/>
      <c r="T314"/>
    </row>
    <row r="315" spans="2:20" ht="13.5" customHeight="1" x14ac:dyDescent="0.3">
      <c r="B315" s="14" t="s">
        <v>23</v>
      </c>
      <c r="C315" s="20">
        <v>1</v>
      </c>
      <c r="D315" s="22" t="s">
        <v>271</v>
      </c>
      <c r="E315" s="14">
        <v>2017</v>
      </c>
      <c r="F315" s="14" t="s">
        <v>26</v>
      </c>
      <c r="G315" s="14" t="s">
        <v>95</v>
      </c>
      <c r="H315" s="14" t="s">
        <v>99</v>
      </c>
      <c r="I315" s="17" t="s">
        <v>99</v>
      </c>
      <c r="J315" s="18">
        <v>34</v>
      </c>
      <c r="K315" s="19" t="s">
        <v>24</v>
      </c>
      <c r="L315" s="25" t="s">
        <v>648</v>
      </c>
      <c r="M315" s="16" t="s">
        <v>301</v>
      </c>
      <c r="N315" s="15">
        <v>975</v>
      </c>
      <c r="O315" s="28"/>
      <c r="S315"/>
      <c r="T315"/>
    </row>
    <row r="316" spans="2:20" ht="13.5" customHeight="1" x14ac:dyDescent="0.3">
      <c r="B316" s="14" t="s">
        <v>23</v>
      </c>
      <c r="C316" s="20">
        <v>1</v>
      </c>
      <c r="D316" s="22" t="s">
        <v>852</v>
      </c>
      <c r="E316" s="14">
        <v>2022</v>
      </c>
      <c r="F316" s="14" t="s">
        <v>26</v>
      </c>
      <c r="G316" s="14" t="s">
        <v>259</v>
      </c>
      <c r="H316" s="14" t="s">
        <v>263</v>
      </c>
      <c r="I316" s="17" t="s">
        <v>263</v>
      </c>
      <c r="J316" s="18">
        <v>6</v>
      </c>
      <c r="K316" s="19" t="s">
        <v>24</v>
      </c>
      <c r="L316" s="25" t="s">
        <v>640</v>
      </c>
      <c r="M316" s="16" t="s">
        <v>986</v>
      </c>
      <c r="N316" s="15">
        <v>212</v>
      </c>
      <c r="O316" s="28"/>
      <c r="S316"/>
      <c r="T316"/>
    </row>
    <row r="317" spans="2:20" ht="13.5" customHeight="1" x14ac:dyDescent="0.3">
      <c r="B317" s="14" t="s">
        <v>23</v>
      </c>
      <c r="C317" s="20">
        <v>1</v>
      </c>
      <c r="D317" s="22" t="s">
        <v>454</v>
      </c>
      <c r="E317" s="14">
        <v>1996</v>
      </c>
      <c r="F317" s="14" t="s">
        <v>26</v>
      </c>
      <c r="G317" s="14" t="s">
        <v>50</v>
      </c>
      <c r="H317" s="14" t="s">
        <v>188</v>
      </c>
      <c r="I317" s="17" t="s">
        <v>188</v>
      </c>
      <c r="J317" s="18">
        <v>15</v>
      </c>
      <c r="K317" s="19" t="s">
        <v>24</v>
      </c>
      <c r="L317" s="25" t="s">
        <v>640</v>
      </c>
      <c r="M317" s="16" t="s">
        <v>515</v>
      </c>
      <c r="N317" s="15">
        <v>638</v>
      </c>
      <c r="O317" s="28"/>
      <c r="S317"/>
      <c r="T317"/>
    </row>
    <row r="318" spans="2:20" ht="13.5" customHeight="1" x14ac:dyDescent="0.3">
      <c r="B318" s="14" t="s">
        <v>23</v>
      </c>
      <c r="C318" s="20">
        <v>1</v>
      </c>
      <c r="D318" s="22" t="s">
        <v>853</v>
      </c>
      <c r="E318" s="14">
        <v>2023</v>
      </c>
      <c r="F318" s="14" t="s">
        <v>26</v>
      </c>
      <c r="G318" s="14" t="s">
        <v>97</v>
      </c>
      <c r="H318" s="14" t="s">
        <v>854</v>
      </c>
      <c r="I318" s="17" t="s">
        <v>854</v>
      </c>
      <c r="J318" s="18">
        <v>16</v>
      </c>
      <c r="K318" s="19" t="s">
        <v>24</v>
      </c>
      <c r="L318" s="25" t="s">
        <v>640</v>
      </c>
      <c r="M318" s="16">
        <v>34</v>
      </c>
      <c r="N318" s="15">
        <v>732</v>
      </c>
      <c r="O318" s="28"/>
      <c r="S318"/>
      <c r="T318"/>
    </row>
    <row r="319" spans="2:20" ht="13.5" customHeight="1" x14ac:dyDescent="0.3">
      <c r="B319" s="14" t="s">
        <v>23</v>
      </c>
      <c r="C319" s="20">
        <v>1</v>
      </c>
      <c r="D319" s="22" t="s">
        <v>272</v>
      </c>
      <c r="E319" s="14">
        <v>2001</v>
      </c>
      <c r="F319" s="14" t="s">
        <v>26</v>
      </c>
      <c r="G319" s="14" t="s">
        <v>97</v>
      </c>
      <c r="H319" s="14" t="s">
        <v>186</v>
      </c>
      <c r="I319" s="17" t="s">
        <v>186</v>
      </c>
      <c r="J319" s="18">
        <v>14</v>
      </c>
      <c r="K319" s="19" t="s">
        <v>24</v>
      </c>
      <c r="L319" s="25" t="s">
        <v>640</v>
      </c>
      <c r="M319" s="16" t="s">
        <v>302</v>
      </c>
      <c r="N319" s="15">
        <v>603</v>
      </c>
      <c r="O319" s="28"/>
      <c r="S319"/>
      <c r="T319"/>
    </row>
    <row r="320" spans="2:20" ht="13.5" customHeight="1" x14ac:dyDescent="0.3">
      <c r="B320" s="14" t="s">
        <v>30</v>
      </c>
      <c r="C320" s="20">
        <v>1</v>
      </c>
      <c r="D320" s="22" t="s">
        <v>455</v>
      </c>
      <c r="E320" s="14">
        <v>2023</v>
      </c>
      <c r="F320" s="14" t="s">
        <v>26</v>
      </c>
      <c r="G320" s="14" t="s">
        <v>97</v>
      </c>
      <c r="H320" s="14" t="s">
        <v>186</v>
      </c>
      <c r="I320" s="17" t="s">
        <v>186</v>
      </c>
      <c r="J320" s="18">
        <v>3</v>
      </c>
      <c r="K320" s="19" t="s">
        <v>24</v>
      </c>
      <c r="L320" s="25" t="s">
        <v>640</v>
      </c>
      <c r="M320" s="16" t="s">
        <v>489</v>
      </c>
      <c r="N320" s="15">
        <v>92</v>
      </c>
      <c r="O320" s="28"/>
      <c r="S320"/>
      <c r="T320"/>
    </row>
    <row r="321" spans="2:20" ht="13.5" customHeight="1" x14ac:dyDescent="0.3">
      <c r="B321" s="14" t="s">
        <v>23</v>
      </c>
      <c r="C321" s="20">
        <v>1</v>
      </c>
      <c r="D321" s="22" t="s">
        <v>273</v>
      </c>
      <c r="E321" s="14">
        <v>2019</v>
      </c>
      <c r="F321" s="14" t="s">
        <v>26</v>
      </c>
      <c r="G321" s="14" t="s">
        <v>95</v>
      </c>
      <c r="H321" s="14" t="s">
        <v>99</v>
      </c>
      <c r="I321" s="17" t="s">
        <v>99</v>
      </c>
      <c r="J321" s="18">
        <v>12</v>
      </c>
      <c r="K321" s="19" t="s">
        <v>24</v>
      </c>
      <c r="L321" s="25" t="s">
        <v>640</v>
      </c>
      <c r="M321" s="16" t="s">
        <v>286</v>
      </c>
      <c r="N321" s="15">
        <v>421</v>
      </c>
      <c r="O321" s="28"/>
      <c r="S321"/>
      <c r="T321"/>
    </row>
    <row r="322" spans="2:20" ht="13.5" customHeight="1" x14ac:dyDescent="0.3">
      <c r="B322" s="14" t="s">
        <v>23</v>
      </c>
      <c r="C322" s="20">
        <v>1</v>
      </c>
      <c r="D322" s="22" t="s">
        <v>456</v>
      </c>
      <c r="E322" s="14">
        <v>1996</v>
      </c>
      <c r="F322" s="14" t="s">
        <v>26</v>
      </c>
      <c r="G322" s="14" t="s">
        <v>50</v>
      </c>
      <c r="H322" s="14" t="s">
        <v>250</v>
      </c>
      <c r="I322" s="17" t="s">
        <v>250</v>
      </c>
      <c r="J322" s="18">
        <v>39</v>
      </c>
      <c r="K322" s="19" t="s">
        <v>24</v>
      </c>
      <c r="L322" s="25" t="s">
        <v>640</v>
      </c>
      <c r="M322" s="16" t="s">
        <v>516</v>
      </c>
      <c r="N322" s="15">
        <v>1848</v>
      </c>
      <c r="O322" s="28"/>
      <c r="S322"/>
      <c r="T322"/>
    </row>
    <row r="323" spans="2:20" ht="13.5" customHeight="1" x14ac:dyDescent="0.3">
      <c r="B323" s="14" t="s">
        <v>23</v>
      </c>
      <c r="C323" s="20">
        <v>1</v>
      </c>
      <c r="D323" s="22" t="s">
        <v>274</v>
      </c>
      <c r="E323" s="14">
        <v>2013</v>
      </c>
      <c r="F323" s="14" t="s">
        <v>26</v>
      </c>
      <c r="G323" s="14" t="s">
        <v>50</v>
      </c>
      <c r="H323" s="14" t="s">
        <v>91</v>
      </c>
      <c r="I323" s="17" t="s">
        <v>91</v>
      </c>
      <c r="J323" s="18">
        <v>24</v>
      </c>
      <c r="K323" s="19" t="s">
        <v>24</v>
      </c>
      <c r="L323" s="25" t="s">
        <v>648</v>
      </c>
      <c r="M323" s="16" t="s">
        <v>303</v>
      </c>
      <c r="N323" s="15">
        <v>1059</v>
      </c>
      <c r="O323" s="28"/>
      <c r="S323"/>
      <c r="T323"/>
    </row>
    <row r="324" spans="2:20" ht="13.5" customHeight="1" x14ac:dyDescent="0.3">
      <c r="B324" s="14" t="s">
        <v>23</v>
      </c>
      <c r="C324" s="20">
        <v>1</v>
      </c>
      <c r="D324" s="22" t="s">
        <v>191</v>
      </c>
      <c r="E324" s="14">
        <v>2018</v>
      </c>
      <c r="F324" s="14" t="s">
        <v>26</v>
      </c>
      <c r="G324" s="14" t="s">
        <v>50</v>
      </c>
      <c r="H324" s="14" t="s">
        <v>91</v>
      </c>
      <c r="I324" s="17" t="s">
        <v>91</v>
      </c>
      <c r="J324" s="18">
        <v>15</v>
      </c>
      <c r="K324" s="19" t="s">
        <v>24</v>
      </c>
      <c r="L324" s="25" t="s">
        <v>648</v>
      </c>
      <c r="M324" s="16" t="s">
        <v>226</v>
      </c>
      <c r="N324" s="15">
        <v>813</v>
      </c>
      <c r="O324" s="28"/>
      <c r="S324"/>
      <c r="T324"/>
    </row>
    <row r="325" spans="2:20" ht="13.5" customHeight="1" x14ac:dyDescent="0.3">
      <c r="B325" s="14" t="s">
        <v>23</v>
      </c>
      <c r="C325" s="20">
        <v>1</v>
      </c>
      <c r="D325" s="22" t="s">
        <v>457</v>
      </c>
      <c r="E325" s="14">
        <v>2015</v>
      </c>
      <c r="F325" s="14" t="s">
        <v>26</v>
      </c>
      <c r="G325" s="14" t="s">
        <v>87</v>
      </c>
      <c r="H325" s="14" t="s">
        <v>88</v>
      </c>
      <c r="I325" s="17" t="s">
        <v>88</v>
      </c>
      <c r="J325" s="18">
        <v>34</v>
      </c>
      <c r="K325" s="19" t="s">
        <v>24</v>
      </c>
      <c r="L325" s="25" t="s">
        <v>640</v>
      </c>
      <c r="M325" s="16" t="s">
        <v>517</v>
      </c>
      <c r="N325" s="15">
        <v>1758</v>
      </c>
      <c r="O325" s="28" t="s">
        <v>518</v>
      </c>
      <c r="S325"/>
      <c r="T325"/>
    </row>
    <row r="326" spans="2:20" ht="13.5" customHeight="1" x14ac:dyDescent="0.3">
      <c r="B326" s="14" t="s">
        <v>23</v>
      </c>
      <c r="C326" s="20">
        <v>1</v>
      </c>
      <c r="D326" s="22" t="s">
        <v>332</v>
      </c>
      <c r="E326" s="14">
        <v>2022</v>
      </c>
      <c r="F326" s="14" t="s">
        <v>26</v>
      </c>
      <c r="G326" s="14" t="s">
        <v>97</v>
      </c>
      <c r="H326" s="14" t="s">
        <v>254</v>
      </c>
      <c r="I326" s="17" t="s">
        <v>254</v>
      </c>
      <c r="J326" s="18">
        <v>25</v>
      </c>
      <c r="K326" s="19" t="s">
        <v>24</v>
      </c>
      <c r="L326" s="25" t="s">
        <v>640</v>
      </c>
      <c r="M326" s="16" t="s">
        <v>350</v>
      </c>
      <c r="N326" s="15">
        <v>874</v>
      </c>
      <c r="O326" s="28"/>
      <c r="S326"/>
      <c r="T326"/>
    </row>
    <row r="327" spans="2:20" ht="13.5" customHeight="1" x14ac:dyDescent="0.3">
      <c r="B327" s="14" t="s">
        <v>23</v>
      </c>
      <c r="C327" s="20">
        <v>1</v>
      </c>
      <c r="D327" s="22" t="s">
        <v>458</v>
      </c>
      <c r="E327" s="14">
        <v>2017</v>
      </c>
      <c r="F327" s="14" t="s">
        <v>26</v>
      </c>
      <c r="G327" s="14" t="s">
        <v>95</v>
      </c>
      <c r="H327" s="14" t="s">
        <v>96</v>
      </c>
      <c r="I327" s="17" t="s">
        <v>96</v>
      </c>
      <c r="J327" s="18">
        <v>8</v>
      </c>
      <c r="K327" s="19" t="s">
        <v>24</v>
      </c>
      <c r="L327" s="25" t="s">
        <v>640</v>
      </c>
      <c r="M327" s="16">
        <v>34</v>
      </c>
      <c r="N327" s="15">
        <v>405</v>
      </c>
      <c r="O327" s="28"/>
      <c r="S327"/>
      <c r="T327"/>
    </row>
    <row r="328" spans="2:20" ht="13.5" customHeight="1" x14ac:dyDescent="0.3">
      <c r="B328" s="14" t="s">
        <v>23</v>
      </c>
      <c r="C328" s="20">
        <v>1</v>
      </c>
      <c r="D328" s="22" t="s">
        <v>459</v>
      </c>
      <c r="E328" s="14">
        <v>2006</v>
      </c>
      <c r="F328" s="14" t="s">
        <v>26</v>
      </c>
      <c r="G328" s="14" t="s">
        <v>50</v>
      </c>
      <c r="H328" s="14" t="s">
        <v>91</v>
      </c>
      <c r="I328" s="17" t="s">
        <v>91</v>
      </c>
      <c r="J328" s="18">
        <v>12</v>
      </c>
      <c r="K328" s="19" t="s">
        <v>24</v>
      </c>
      <c r="L328" s="25" t="s">
        <v>640</v>
      </c>
      <c r="M328" s="16" t="s">
        <v>519</v>
      </c>
      <c r="N328" s="15">
        <v>548</v>
      </c>
      <c r="O328" s="28"/>
      <c r="S328"/>
      <c r="T328"/>
    </row>
    <row r="329" spans="2:20" ht="13.5" customHeight="1" x14ac:dyDescent="0.3">
      <c r="B329" s="14" t="s">
        <v>23</v>
      </c>
      <c r="C329" s="20">
        <v>1</v>
      </c>
      <c r="D329" s="22" t="s">
        <v>275</v>
      </c>
      <c r="E329" s="14">
        <v>2015</v>
      </c>
      <c r="F329" s="14" t="s">
        <v>26</v>
      </c>
      <c r="G329" s="14" t="s">
        <v>50</v>
      </c>
      <c r="H329" s="14" t="s">
        <v>28</v>
      </c>
      <c r="I329" s="17" t="s">
        <v>28</v>
      </c>
      <c r="J329" s="18">
        <v>67</v>
      </c>
      <c r="K329" s="19" t="s">
        <v>24</v>
      </c>
      <c r="L329" s="25" t="s">
        <v>648</v>
      </c>
      <c r="M329" s="16" t="s">
        <v>304</v>
      </c>
      <c r="N329" s="15">
        <v>2369</v>
      </c>
      <c r="O329" s="28"/>
      <c r="S329"/>
      <c r="T329"/>
    </row>
    <row r="330" spans="2:20" ht="13.5" customHeight="1" x14ac:dyDescent="0.3">
      <c r="B330" s="14" t="s">
        <v>23</v>
      </c>
      <c r="C330" s="20">
        <v>1</v>
      </c>
      <c r="D330" s="22" t="s">
        <v>460</v>
      </c>
      <c r="E330" s="14">
        <v>2018</v>
      </c>
      <c r="F330" s="14" t="s">
        <v>26</v>
      </c>
      <c r="G330" s="14" t="s">
        <v>461</v>
      </c>
      <c r="H330" s="14" t="s">
        <v>181</v>
      </c>
      <c r="I330" s="17" t="s">
        <v>181</v>
      </c>
      <c r="J330" s="18">
        <v>59</v>
      </c>
      <c r="K330" s="19" t="s">
        <v>24</v>
      </c>
      <c r="L330" s="25" t="s">
        <v>648</v>
      </c>
      <c r="M330" s="16" t="s">
        <v>520</v>
      </c>
      <c r="N330" s="15">
        <v>3149</v>
      </c>
      <c r="O330" s="28"/>
      <c r="S330"/>
      <c r="T330"/>
    </row>
    <row r="331" spans="2:20" ht="13.5" customHeight="1" x14ac:dyDescent="0.3">
      <c r="B331" s="14" t="s">
        <v>23</v>
      </c>
      <c r="C331" s="20">
        <v>1</v>
      </c>
      <c r="D331" s="26" t="s">
        <v>855</v>
      </c>
      <c r="E331" s="14">
        <v>2014</v>
      </c>
      <c r="F331" s="14" t="s">
        <v>334</v>
      </c>
      <c r="G331" s="14" t="s">
        <v>463</v>
      </c>
      <c r="H331" s="14" t="s">
        <v>856</v>
      </c>
      <c r="I331" s="17" t="s">
        <v>857</v>
      </c>
      <c r="J331" s="18">
        <v>36</v>
      </c>
      <c r="K331" s="19" t="s">
        <v>24</v>
      </c>
      <c r="L331" s="25" t="s">
        <v>646</v>
      </c>
      <c r="M331" s="16" t="s">
        <v>987</v>
      </c>
      <c r="N331" s="15">
        <v>1518</v>
      </c>
      <c r="O331" s="28"/>
      <c r="S331"/>
      <c r="T331"/>
    </row>
    <row r="332" spans="2:20" ht="13.5" customHeight="1" x14ac:dyDescent="0.3">
      <c r="B332" s="14" t="s">
        <v>23</v>
      </c>
      <c r="C332" s="20">
        <v>1</v>
      </c>
      <c r="D332" s="16" t="s">
        <v>333</v>
      </c>
      <c r="E332" s="14">
        <v>2018</v>
      </c>
      <c r="F332" s="14" t="s">
        <v>334</v>
      </c>
      <c r="G332" s="14" t="s">
        <v>335</v>
      </c>
      <c r="H332" s="14" t="s">
        <v>336</v>
      </c>
      <c r="I332" s="17" t="s">
        <v>336</v>
      </c>
      <c r="J332" s="18">
        <v>21</v>
      </c>
      <c r="K332" s="19" t="s">
        <v>24</v>
      </c>
      <c r="L332" s="25" t="s">
        <v>646</v>
      </c>
      <c r="M332" s="16" t="s">
        <v>351</v>
      </c>
      <c r="N332" s="15">
        <v>975</v>
      </c>
      <c r="O332" s="28" t="s">
        <v>29</v>
      </c>
      <c r="S332"/>
      <c r="T332"/>
    </row>
    <row r="333" spans="2:20" ht="13.5" customHeight="1" x14ac:dyDescent="0.3">
      <c r="B333" s="14" t="s">
        <v>23</v>
      </c>
      <c r="C333" s="20">
        <v>1</v>
      </c>
      <c r="D333" s="22" t="s">
        <v>465</v>
      </c>
      <c r="E333" s="14">
        <v>1999</v>
      </c>
      <c r="F333" s="14" t="s">
        <v>334</v>
      </c>
      <c r="G333" s="14" t="s">
        <v>463</v>
      </c>
      <c r="H333" s="14" t="s">
        <v>464</v>
      </c>
      <c r="I333" s="17" t="s">
        <v>464</v>
      </c>
      <c r="J333" s="18">
        <v>52</v>
      </c>
      <c r="K333" s="19" t="s">
        <v>24</v>
      </c>
      <c r="L333" s="25" t="s">
        <v>646</v>
      </c>
      <c r="M333" s="16" t="s">
        <v>521</v>
      </c>
      <c r="N333" s="15">
        <v>1740</v>
      </c>
      <c r="O333" s="28" t="s">
        <v>29</v>
      </c>
      <c r="S333"/>
      <c r="T333"/>
    </row>
    <row r="334" spans="2:20" ht="13.5" customHeight="1" x14ac:dyDescent="0.3">
      <c r="B334" s="14" t="s">
        <v>23</v>
      </c>
      <c r="C334" s="20">
        <v>1</v>
      </c>
      <c r="D334" s="22" t="s">
        <v>466</v>
      </c>
      <c r="E334" s="14">
        <v>2020</v>
      </c>
      <c r="F334" s="14" t="s">
        <v>334</v>
      </c>
      <c r="G334" s="14" t="s">
        <v>463</v>
      </c>
      <c r="H334" s="14" t="s">
        <v>467</v>
      </c>
      <c r="I334" s="17" t="s">
        <v>467</v>
      </c>
      <c r="J334" s="18">
        <v>7</v>
      </c>
      <c r="K334" s="19" t="s">
        <v>24</v>
      </c>
      <c r="L334" s="25" t="s">
        <v>646</v>
      </c>
      <c r="M334" s="16" t="s">
        <v>522</v>
      </c>
      <c r="N334" s="15">
        <v>360</v>
      </c>
      <c r="O334" s="28" t="s">
        <v>29</v>
      </c>
      <c r="S334"/>
      <c r="T334"/>
    </row>
    <row r="335" spans="2:20" ht="13.5" customHeight="1" x14ac:dyDescent="0.3">
      <c r="B335" s="14" t="s">
        <v>23</v>
      </c>
      <c r="C335" s="20">
        <v>1</v>
      </c>
      <c r="D335" s="22" t="s">
        <v>604</v>
      </c>
      <c r="E335" s="14">
        <v>1995</v>
      </c>
      <c r="F335" s="14" t="s">
        <v>334</v>
      </c>
      <c r="G335" s="14" t="s">
        <v>463</v>
      </c>
      <c r="H335" s="14" t="s">
        <v>464</v>
      </c>
      <c r="I335" s="17" t="s">
        <v>464</v>
      </c>
      <c r="J335" s="18">
        <v>13</v>
      </c>
      <c r="K335" s="19" t="s">
        <v>24</v>
      </c>
      <c r="L335" s="25" t="s">
        <v>640</v>
      </c>
      <c r="M335" s="16">
        <v>21</v>
      </c>
      <c r="N335" s="15">
        <v>375</v>
      </c>
      <c r="O335" s="28" t="s">
        <v>29</v>
      </c>
      <c r="S335"/>
      <c r="T335"/>
    </row>
    <row r="336" spans="2:20" ht="13.5" customHeight="1" x14ac:dyDescent="0.3">
      <c r="B336" s="14" t="s">
        <v>23</v>
      </c>
      <c r="C336" s="20">
        <v>1</v>
      </c>
      <c r="D336" s="22" t="s">
        <v>858</v>
      </c>
      <c r="E336" s="14">
        <v>2012</v>
      </c>
      <c r="F336" s="14" t="s">
        <v>334</v>
      </c>
      <c r="G336" s="14" t="s">
        <v>859</v>
      </c>
      <c r="H336" s="14" t="s">
        <v>860</v>
      </c>
      <c r="I336" s="17" t="s">
        <v>861</v>
      </c>
      <c r="J336" s="18">
        <v>8</v>
      </c>
      <c r="K336" s="19" t="s">
        <v>24</v>
      </c>
      <c r="L336" s="25" t="s">
        <v>646</v>
      </c>
      <c r="M336" s="16" t="s">
        <v>988</v>
      </c>
      <c r="N336" s="15">
        <v>442</v>
      </c>
      <c r="O336" s="28" t="s">
        <v>29</v>
      </c>
      <c r="S336"/>
      <c r="T336"/>
    </row>
    <row r="337" spans="2:20" ht="13.5" customHeight="1" x14ac:dyDescent="0.3">
      <c r="B337" s="14" t="s">
        <v>23</v>
      </c>
      <c r="C337" s="20">
        <v>1</v>
      </c>
      <c r="D337" s="22" t="s">
        <v>862</v>
      </c>
      <c r="E337" s="14">
        <v>2017</v>
      </c>
      <c r="F337" s="14" t="s">
        <v>334</v>
      </c>
      <c r="G337" s="14" t="s">
        <v>566</v>
      </c>
      <c r="H337" s="14" t="s">
        <v>863</v>
      </c>
      <c r="I337" s="17" t="s">
        <v>864</v>
      </c>
      <c r="J337" s="18">
        <v>20</v>
      </c>
      <c r="K337" s="19" t="s">
        <v>24</v>
      </c>
      <c r="L337" s="25" t="s">
        <v>646</v>
      </c>
      <c r="M337" s="16" t="s">
        <v>989</v>
      </c>
      <c r="N337" s="15">
        <v>827</v>
      </c>
      <c r="O337" s="28" t="s">
        <v>29</v>
      </c>
      <c r="S337"/>
      <c r="T337"/>
    </row>
    <row r="338" spans="2:20" ht="13.5" customHeight="1" x14ac:dyDescent="0.3">
      <c r="B338" s="14" t="s">
        <v>23</v>
      </c>
      <c r="C338" s="20">
        <v>1</v>
      </c>
      <c r="D338" s="16" t="s">
        <v>865</v>
      </c>
      <c r="E338" s="14">
        <v>2016</v>
      </c>
      <c r="F338" s="14" t="s">
        <v>866</v>
      </c>
      <c r="G338" s="14" t="s">
        <v>57</v>
      </c>
      <c r="H338" s="14" t="s">
        <v>867</v>
      </c>
      <c r="I338" s="17" t="s">
        <v>867</v>
      </c>
      <c r="J338" s="18">
        <v>24</v>
      </c>
      <c r="K338" s="19" t="s">
        <v>24</v>
      </c>
      <c r="L338" s="25" t="s">
        <v>641</v>
      </c>
      <c r="M338" s="16" t="s">
        <v>193</v>
      </c>
      <c r="N338" s="15">
        <v>1162</v>
      </c>
      <c r="O338" s="28"/>
      <c r="S338"/>
      <c r="T338"/>
    </row>
    <row r="339" spans="2:20" ht="13.5" customHeight="1" x14ac:dyDescent="0.3">
      <c r="B339" s="14" t="s">
        <v>23</v>
      </c>
      <c r="C339" s="20">
        <v>1</v>
      </c>
      <c r="D339" s="16" t="s">
        <v>868</v>
      </c>
      <c r="E339" s="14">
        <v>2021</v>
      </c>
      <c r="F339" s="14" t="s">
        <v>866</v>
      </c>
      <c r="G339" s="14" t="s">
        <v>28</v>
      </c>
      <c r="H339" s="14" t="s">
        <v>869</v>
      </c>
      <c r="I339" s="17" t="s">
        <v>869</v>
      </c>
      <c r="J339" s="18">
        <v>9</v>
      </c>
      <c r="K339" s="19" t="s">
        <v>24</v>
      </c>
      <c r="L339" s="25" t="s">
        <v>641</v>
      </c>
      <c r="M339" s="16" t="s">
        <v>133</v>
      </c>
      <c r="N339" s="15">
        <v>346</v>
      </c>
      <c r="O339" s="28"/>
      <c r="S339"/>
      <c r="T339"/>
    </row>
    <row r="340" spans="2:20" ht="13.5" customHeight="1" x14ac:dyDescent="0.3">
      <c r="B340" s="14" t="s">
        <v>23</v>
      </c>
      <c r="C340" s="20">
        <v>1</v>
      </c>
      <c r="D340" s="16" t="s">
        <v>870</v>
      </c>
      <c r="E340" s="14" t="s">
        <v>63</v>
      </c>
      <c r="F340" s="14" t="s">
        <v>866</v>
      </c>
      <c r="G340" s="14" t="s">
        <v>47</v>
      </c>
      <c r="H340" s="14" t="s">
        <v>35</v>
      </c>
      <c r="I340" s="17" t="s">
        <v>35</v>
      </c>
      <c r="J340" s="18">
        <v>37</v>
      </c>
      <c r="K340" s="19" t="s">
        <v>24</v>
      </c>
      <c r="L340" s="25" t="s">
        <v>641</v>
      </c>
      <c r="M340" s="16" t="s">
        <v>990</v>
      </c>
      <c r="N340" s="15">
        <v>1810</v>
      </c>
      <c r="O340" s="28"/>
      <c r="S340"/>
      <c r="T340"/>
    </row>
    <row r="341" spans="2:20" ht="13.5" customHeight="1" x14ac:dyDescent="0.3">
      <c r="B341" s="14" t="s">
        <v>23</v>
      </c>
      <c r="C341" s="20">
        <v>1</v>
      </c>
      <c r="D341" s="16" t="s">
        <v>871</v>
      </c>
      <c r="E341" s="14">
        <v>2004</v>
      </c>
      <c r="F341" s="14" t="s">
        <v>866</v>
      </c>
      <c r="G341" s="14" t="s">
        <v>28</v>
      </c>
      <c r="H341" s="14" t="s">
        <v>872</v>
      </c>
      <c r="I341" s="17" t="s">
        <v>872</v>
      </c>
      <c r="J341" s="18">
        <v>47</v>
      </c>
      <c r="K341" s="19" t="s">
        <v>24</v>
      </c>
      <c r="L341" s="25" t="s">
        <v>641</v>
      </c>
      <c r="M341" s="16" t="s">
        <v>991</v>
      </c>
      <c r="N341" s="15">
        <v>1004</v>
      </c>
      <c r="O341" s="28" t="s">
        <v>29</v>
      </c>
      <c r="S341"/>
      <c r="T341"/>
    </row>
    <row r="342" spans="2:20" ht="13.5" customHeight="1" x14ac:dyDescent="0.3">
      <c r="B342" s="14" t="s">
        <v>23</v>
      </c>
      <c r="C342" s="20">
        <v>1</v>
      </c>
      <c r="D342" s="16" t="s">
        <v>873</v>
      </c>
      <c r="E342" s="14">
        <v>1992</v>
      </c>
      <c r="F342" s="14" t="s">
        <v>866</v>
      </c>
      <c r="G342" s="14" t="s">
        <v>47</v>
      </c>
      <c r="H342" s="14" t="s">
        <v>35</v>
      </c>
      <c r="I342" s="17" t="s">
        <v>35</v>
      </c>
      <c r="J342" s="18">
        <v>44</v>
      </c>
      <c r="K342" s="19" t="s">
        <v>24</v>
      </c>
      <c r="L342" s="25" t="s">
        <v>641</v>
      </c>
      <c r="M342" s="16" t="s">
        <v>992</v>
      </c>
      <c r="N342" s="15">
        <v>3027</v>
      </c>
      <c r="O342" s="28" t="s">
        <v>29</v>
      </c>
      <c r="S342"/>
      <c r="T342"/>
    </row>
    <row r="343" spans="2:20" ht="13.5" customHeight="1" x14ac:dyDescent="0.3">
      <c r="B343" s="14" t="s">
        <v>23</v>
      </c>
      <c r="C343" s="20">
        <v>1</v>
      </c>
      <c r="D343" s="16" t="s">
        <v>874</v>
      </c>
      <c r="E343" s="14">
        <v>2008</v>
      </c>
      <c r="F343" s="14" t="s">
        <v>866</v>
      </c>
      <c r="G343" s="14" t="s">
        <v>93</v>
      </c>
      <c r="H343" s="14" t="s">
        <v>875</v>
      </c>
      <c r="I343" s="17" t="s">
        <v>875</v>
      </c>
      <c r="J343" s="18">
        <v>6</v>
      </c>
      <c r="K343" s="19" t="s">
        <v>24</v>
      </c>
      <c r="L343" s="25" t="s">
        <v>641</v>
      </c>
      <c r="M343" s="16" t="s">
        <v>993</v>
      </c>
      <c r="N343" s="15">
        <v>228</v>
      </c>
      <c r="O343" s="28" t="s">
        <v>29</v>
      </c>
      <c r="S343"/>
      <c r="T343"/>
    </row>
    <row r="344" spans="2:20" ht="13.5" customHeight="1" x14ac:dyDescent="0.3">
      <c r="B344" s="14" t="s">
        <v>23</v>
      </c>
      <c r="C344" s="20">
        <v>1</v>
      </c>
      <c r="D344" s="16" t="s">
        <v>876</v>
      </c>
      <c r="E344" s="14">
        <v>1991</v>
      </c>
      <c r="F344" s="14" t="s">
        <v>866</v>
      </c>
      <c r="G344" s="14" t="s">
        <v>93</v>
      </c>
      <c r="H344" s="14" t="s">
        <v>877</v>
      </c>
      <c r="I344" s="17" t="s">
        <v>877</v>
      </c>
      <c r="J344" s="18">
        <v>12</v>
      </c>
      <c r="K344" s="19" t="s">
        <v>24</v>
      </c>
      <c r="L344" s="25" t="s">
        <v>641</v>
      </c>
      <c r="M344" s="16" t="s">
        <v>994</v>
      </c>
      <c r="N344" s="15">
        <v>314</v>
      </c>
      <c r="O344" s="28" t="s">
        <v>29</v>
      </c>
      <c r="S344"/>
      <c r="T344"/>
    </row>
    <row r="345" spans="2:20" ht="13.5" customHeight="1" x14ac:dyDescent="0.3">
      <c r="B345" s="14" t="s">
        <v>23</v>
      </c>
      <c r="C345" s="20">
        <v>1</v>
      </c>
      <c r="D345" s="22" t="s">
        <v>878</v>
      </c>
      <c r="E345" s="14">
        <v>1995</v>
      </c>
      <c r="F345" s="14" t="s">
        <v>866</v>
      </c>
      <c r="G345" s="14" t="s">
        <v>47</v>
      </c>
      <c r="H345" s="14" t="s">
        <v>35</v>
      </c>
      <c r="I345" s="17" t="s">
        <v>35</v>
      </c>
      <c r="J345" s="18">
        <v>7</v>
      </c>
      <c r="K345" s="19" t="s">
        <v>24</v>
      </c>
      <c r="L345" s="25" t="s">
        <v>641</v>
      </c>
      <c r="M345" s="16" t="s">
        <v>995</v>
      </c>
      <c r="N345" s="15">
        <v>484</v>
      </c>
      <c r="O345" s="28" t="s">
        <v>29</v>
      </c>
      <c r="S345"/>
      <c r="T345"/>
    </row>
    <row r="346" spans="2:20" ht="13.5" customHeight="1" x14ac:dyDescent="0.3">
      <c r="B346" s="14" t="s">
        <v>23</v>
      </c>
      <c r="C346" s="20">
        <v>1</v>
      </c>
      <c r="D346" s="22" t="s">
        <v>879</v>
      </c>
      <c r="E346" s="14">
        <v>2015</v>
      </c>
      <c r="F346" s="14" t="s">
        <v>866</v>
      </c>
      <c r="G346" s="14" t="s">
        <v>47</v>
      </c>
      <c r="H346" s="14" t="s">
        <v>126</v>
      </c>
      <c r="I346" s="17" t="s">
        <v>126</v>
      </c>
      <c r="J346" s="18">
        <v>41</v>
      </c>
      <c r="K346" s="19" t="s">
        <v>24</v>
      </c>
      <c r="L346" s="25" t="s">
        <v>641</v>
      </c>
      <c r="M346" s="16" t="s">
        <v>996</v>
      </c>
      <c r="N346" s="15">
        <v>1898</v>
      </c>
      <c r="O346" s="28" t="s">
        <v>29</v>
      </c>
      <c r="S346"/>
      <c r="T346"/>
    </row>
    <row r="347" spans="2:20" ht="13.5" customHeight="1" x14ac:dyDescent="0.3">
      <c r="B347" s="14" t="s">
        <v>23</v>
      </c>
      <c r="C347" s="20">
        <v>1</v>
      </c>
      <c r="D347" s="22" t="s">
        <v>880</v>
      </c>
      <c r="E347" s="14">
        <v>2001</v>
      </c>
      <c r="F347" s="14" t="s">
        <v>866</v>
      </c>
      <c r="G347" s="14" t="s">
        <v>28</v>
      </c>
      <c r="H347" s="14" t="s">
        <v>881</v>
      </c>
      <c r="I347" s="17" t="s">
        <v>881</v>
      </c>
      <c r="J347" s="18">
        <v>20</v>
      </c>
      <c r="K347" s="19" t="s">
        <v>24</v>
      </c>
      <c r="L347" s="25" t="s">
        <v>641</v>
      </c>
      <c r="M347" s="16" t="s">
        <v>997</v>
      </c>
      <c r="N347" s="15">
        <v>327</v>
      </c>
      <c r="O347" s="28" t="s">
        <v>29</v>
      </c>
      <c r="S347"/>
      <c r="T347"/>
    </row>
    <row r="348" spans="2:20" ht="13.5" customHeight="1" x14ac:dyDescent="0.3">
      <c r="B348" s="14" t="s">
        <v>23</v>
      </c>
      <c r="C348" s="20">
        <v>1</v>
      </c>
      <c r="D348" s="22" t="s">
        <v>882</v>
      </c>
      <c r="E348" s="14">
        <v>1994</v>
      </c>
      <c r="F348" s="14" t="s">
        <v>866</v>
      </c>
      <c r="G348" s="14" t="s">
        <v>28</v>
      </c>
      <c r="H348" s="14" t="s">
        <v>883</v>
      </c>
      <c r="I348" s="17" t="s">
        <v>883</v>
      </c>
      <c r="J348" s="18">
        <v>4</v>
      </c>
      <c r="K348" s="19" t="s">
        <v>24</v>
      </c>
      <c r="L348" s="25" t="s">
        <v>641</v>
      </c>
      <c r="M348" s="16" t="s">
        <v>998</v>
      </c>
      <c r="N348" s="15">
        <v>238</v>
      </c>
      <c r="O348" s="28" t="s">
        <v>29</v>
      </c>
      <c r="S348"/>
      <c r="T348"/>
    </row>
    <row r="349" spans="2:20" ht="13.5" customHeight="1" x14ac:dyDescent="0.3">
      <c r="B349" s="14" t="s">
        <v>23</v>
      </c>
      <c r="C349" s="20">
        <v>1</v>
      </c>
      <c r="D349" s="22" t="s">
        <v>884</v>
      </c>
      <c r="E349" s="14">
        <v>1989</v>
      </c>
      <c r="F349" s="14" t="s">
        <v>866</v>
      </c>
      <c r="G349" s="14" t="s">
        <v>93</v>
      </c>
      <c r="H349" s="14" t="s">
        <v>102</v>
      </c>
      <c r="I349" s="17" t="s">
        <v>102</v>
      </c>
      <c r="J349" s="18">
        <v>8</v>
      </c>
      <c r="K349" s="19" t="s">
        <v>24</v>
      </c>
      <c r="L349" s="25" t="s">
        <v>641</v>
      </c>
      <c r="M349" s="16" t="s">
        <v>999</v>
      </c>
      <c r="N349" s="15">
        <v>233</v>
      </c>
      <c r="O349" s="28" t="s">
        <v>29</v>
      </c>
      <c r="S349"/>
      <c r="T349"/>
    </row>
    <row r="350" spans="2:20" ht="13.5" customHeight="1" x14ac:dyDescent="0.3">
      <c r="B350" s="14" t="s">
        <v>23</v>
      </c>
      <c r="C350" s="20">
        <v>1</v>
      </c>
      <c r="D350" s="22" t="s">
        <v>885</v>
      </c>
      <c r="E350" s="14">
        <v>1990</v>
      </c>
      <c r="F350" s="14" t="s">
        <v>866</v>
      </c>
      <c r="G350" s="14" t="s">
        <v>28</v>
      </c>
      <c r="H350" s="14" t="s">
        <v>886</v>
      </c>
      <c r="I350" s="17" t="s">
        <v>886</v>
      </c>
      <c r="J350" s="18">
        <v>7</v>
      </c>
      <c r="K350" s="19" t="s">
        <v>24</v>
      </c>
      <c r="L350" s="25" t="s">
        <v>641</v>
      </c>
      <c r="M350" s="16" t="s">
        <v>195</v>
      </c>
      <c r="N350" s="15">
        <v>207</v>
      </c>
      <c r="O350" s="28" t="s">
        <v>29</v>
      </c>
      <c r="S350"/>
      <c r="T350"/>
    </row>
    <row r="351" spans="2:20" ht="13.5" customHeight="1" x14ac:dyDescent="0.3">
      <c r="B351" s="14" t="s">
        <v>23</v>
      </c>
      <c r="C351" s="20">
        <v>1</v>
      </c>
      <c r="D351" s="22" t="s">
        <v>887</v>
      </c>
      <c r="E351" s="14">
        <v>1986</v>
      </c>
      <c r="F351" s="14" t="s">
        <v>866</v>
      </c>
      <c r="G351" s="14" t="s">
        <v>28</v>
      </c>
      <c r="H351" s="14" t="s">
        <v>886</v>
      </c>
      <c r="I351" s="17" t="s">
        <v>886</v>
      </c>
      <c r="J351" s="18">
        <v>5</v>
      </c>
      <c r="K351" s="19" t="s">
        <v>24</v>
      </c>
      <c r="L351" s="25" t="s">
        <v>641</v>
      </c>
      <c r="M351" s="16" t="s">
        <v>227</v>
      </c>
      <c r="N351" s="15">
        <v>298</v>
      </c>
      <c r="O351" s="28" t="s">
        <v>29</v>
      </c>
      <c r="S351"/>
      <c r="T351"/>
    </row>
    <row r="352" spans="2:20" ht="13.5" customHeight="1" x14ac:dyDescent="0.3">
      <c r="B352" s="14" t="s">
        <v>23</v>
      </c>
      <c r="C352" s="20">
        <v>1</v>
      </c>
      <c r="D352" s="22" t="s">
        <v>888</v>
      </c>
      <c r="E352" s="14">
        <v>2022</v>
      </c>
      <c r="F352" s="14" t="s">
        <v>866</v>
      </c>
      <c r="G352" s="14" t="s">
        <v>93</v>
      </c>
      <c r="H352" s="14" t="s">
        <v>877</v>
      </c>
      <c r="I352" s="17" t="s">
        <v>877</v>
      </c>
      <c r="J352" s="18">
        <v>21</v>
      </c>
      <c r="K352" s="19" t="s">
        <v>24</v>
      </c>
      <c r="L352" s="25" t="s">
        <v>641</v>
      </c>
      <c r="M352" s="16" t="s">
        <v>1000</v>
      </c>
      <c r="N352" s="15">
        <v>848</v>
      </c>
      <c r="O352" s="28" t="s">
        <v>29</v>
      </c>
      <c r="S352"/>
      <c r="T352"/>
    </row>
    <row r="353" spans="2:20" ht="13.5" customHeight="1" x14ac:dyDescent="0.3">
      <c r="B353" s="14" t="s">
        <v>23</v>
      </c>
      <c r="C353" s="20">
        <v>1</v>
      </c>
      <c r="D353" s="22" t="s">
        <v>889</v>
      </c>
      <c r="E353" s="14">
        <v>1998</v>
      </c>
      <c r="F353" s="14" t="s">
        <v>866</v>
      </c>
      <c r="G353" s="14" t="s">
        <v>93</v>
      </c>
      <c r="H353" s="14" t="s">
        <v>276</v>
      </c>
      <c r="I353" s="17" t="s">
        <v>276</v>
      </c>
      <c r="J353" s="18">
        <v>4</v>
      </c>
      <c r="K353" s="19" t="s">
        <v>24</v>
      </c>
      <c r="L353" s="25" t="s">
        <v>641</v>
      </c>
      <c r="M353" s="16">
        <v>25</v>
      </c>
      <c r="N353" s="15">
        <v>350</v>
      </c>
      <c r="O353" s="28" t="s">
        <v>29</v>
      </c>
      <c r="S353"/>
      <c r="T353"/>
    </row>
    <row r="354" spans="2:20" ht="13.5" customHeight="1" x14ac:dyDescent="0.3">
      <c r="B354" s="14" t="s">
        <v>23</v>
      </c>
      <c r="C354" s="20">
        <v>1</v>
      </c>
      <c r="D354" s="22" t="s">
        <v>890</v>
      </c>
      <c r="E354" s="14">
        <v>1992</v>
      </c>
      <c r="F354" s="14" t="s">
        <v>866</v>
      </c>
      <c r="G354" s="14" t="s">
        <v>28</v>
      </c>
      <c r="H354" s="14" t="s">
        <v>122</v>
      </c>
      <c r="I354" s="17" t="s">
        <v>122</v>
      </c>
      <c r="J354" s="18">
        <v>4</v>
      </c>
      <c r="K354" s="19" t="s">
        <v>24</v>
      </c>
      <c r="L354" s="25" t="s">
        <v>643</v>
      </c>
      <c r="M354" s="16">
        <v>20</v>
      </c>
      <c r="N354" s="15">
        <v>401</v>
      </c>
      <c r="O354" s="28" t="s">
        <v>29</v>
      </c>
      <c r="S354"/>
      <c r="T354"/>
    </row>
    <row r="355" spans="2:20" ht="13.5" customHeight="1" x14ac:dyDescent="0.3">
      <c r="B355" s="14" t="s">
        <v>23</v>
      </c>
      <c r="C355" s="20">
        <v>1</v>
      </c>
      <c r="D355" s="22" t="s">
        <v>891</v>
      </c>
      <c r="E355" s="14">
        <v>1997</v>
      </c>
      <c r="F355" s="14" t="s">
        <v>866</v>
      </c>
      <c r="G355" s="14" t="s">
        <v>93</v>
      </c>
      <c r="H355" s="14" t="s">
        <v>892</v>
      </c>
      <c r="I355" s="17" t="s">
        <v>892</v>
      </c>
      <c r="J355" s="18">
        <v>4</v>
      </c>
      <c r="K355" s="19" t="s">
        <v>24</v>
      </c>
      <c r="L355" s="25" t="s">
        <v>641</v>
      </c>
      <c r="M355" s="16" t="s">
        <v>1001</v>
      </c>
      <c r="N355" s="15">
        <v>99</v>
      </c>
      <c r="O355" s="28" t="s">
        <v>29</v>
      </c>
      <c r="S355"/>
      <c r="T355"/>
    </row>
    <row r="356" spans="2:20" ht="13.5" customHeight="1" x14ac:dyDescent="0.3">
      <c r="B356" s="14" t="s">
        <v>23</v>
      </c>
      <c r="C356" s="20">
        <v>1</v>
      </c>
      <c r="D356" s="22" t="s">
        <v>893</v>
      </c>
      <c r="E356" s="14">
        <v>2014</v>
      </c>
      <c r="F356" s="14" t="s">
        <v>866</v>
      </c>
      <c r="G356" s="14" t="s">
        <v>28</v>
      </c>
      <c r="H356" s="14" t="s">
        <v>886</v>
      </c>
      <c r="I356" s="17" t="s">
        <v>886</v>
      </c>
      <c r="J356" s="18">
        <v>9</v>
      </c>
      <c r="K356" s="19" t="s">
        <v>24</v>
      </c>
      <c r="L356" s="25" t="s">
        <v>641</v>
      </c>
      <c r="M356" s="16">
        <v>37</v>
      </c>
      <c r="N356" s="15">
        <v>346</v>
      </c>
      <c r="O356" s="28" t="s">
        <v>29</v>
      </c>
      <c r="S356"/>
      <c r="T356"/>
    </row>
    <row r="357" spans="2:20" ht="13.5" customHeight="1" x14ac:dyDescent="0.3">
      <c r="B357" s="14" t="s">
        <v>23</v>
      </c>
      <c r="C357" s="20">
        <v>1</v>
      </c>
      <c r="D357" s="22" t="s">
        <v>894</v>
      </c>
      <c r="E357" s="14">
        <v>1995</v>
      </c>
      <c r="F357" s="14" t="s">
        <v>866</v>
      </c>
      <c r="G357" s="14" t="s">
        <v>47</v>
      </c>
      <c r="H357" s="14" t="s">
        <v>895</v>
      </c>
      <c r="I357" s="17" t="s">
        <v>35</v>
      </c>
      <c r="J357" s="18">
        <v>17</v>
      </c>
      <c r="K357" s="19" t="s">
        <v>24</v>
      </c>
      <c r="L357" s="25" t="s">
        <v>641</v>
      </c>
      <c r="M357" s="16" t="s">
        <v>1002</v>
      </c>
      <c r="N357" s="15">
        <v>984</v>
      </c>
      <c r="O357" s="28" t="s">
        <v>29</v>
      </c>
      <c r="S357"/>
      <c r="T357"/>
    </row>
    <row r="358" spans="2:20" ht="13.5" customHeight="1" x14ac:dyDescent="0.3">
      <c r="B358" s="14" t="s">
        <v>23</v>
      </c>
      <c r="C358" s="20">
        <v>1</v>
      </c>
      <c r="D358" s="22" t="s">
        <v>896</v>
      </c>
      <c r="E358" s="14">
        <v>1997</v>
      </c>
      <c r="F358" s="14" t="s">
        <v>866</v>
      </c>
      <c r="G358" s="14" t="s">
        <v>47</v>
      </c>
      <c r="H358" s="14" t="s">
        <v>897</v>
      </c>
      <c r="I358" s="17" t="s">
        <v>898</v>
      </c>
      <c r="J358" s="18">
        <v>18</v>
      </c>
      <c r="K358" s="19" t="s">
        <v>24</v>
      </c>
      <c r="L358" s="25" t="s">
        <v>641</v>
      </c>
      <c r="M358" s="16">
        <v>23</v>
      </c>
      <c r="N358" s="15">
        <v>498</v>
      </c>
      <c r="O358" s="28" t="s">
        <v>29</v>
      </c>
      <c r="S358"/>
      <c r="T358"/>
    </row>
    <row r="359" spans="2:20" ht="13.5" customHeight="1" x14ac:dyDescent="0.3">
      <c r="B359" s="14" t="s">
        <v>23</v>
      </c>
      <c r="C359" s="20">
        <v>1</v>
      </c>
      <c r="D359" s="22" t="s">
        <v>899</v>
      </c>
      <c r="E359" s="14">
        <v>2013</v>
      </c>
      <c r="F359" s="14" t="s">
        <v>866</v>
      </c>
      <c r="G359" s="14" t="s">
        <v>28</v>
      </c>
      <c r="H359" s="14" t="s">
        <v>900</v>
      </c>
      <c r="I359" s="17" t="s">
        <v>901</v>
      </c>
      <c r="J359" s="18">
        <v>8</v>
      </c>
      <c r="K359" s="19" t="s">
        <v>24</v>
      </c>
      <c r="L359" s="25" t="s">
        <v>641</v>
      </c>
      <c r="M359" s="16">
        <v>33</v>
      </c>
      <c r="N359" s="15">
        <v>309</v>
      </c>
      <c r="O359" s="28" t="s">
        <v>29</v>
      </c>
      <c r="S359"/>
      <c r="T359"/>
    </row>
    <row r="360" spans="2:20" ht="13.5" customHeight="1" x14ac:dyDescent="0.3">
      <c r="B360" s="14" t="s">
        <v>30</v>
      </c>
      <c r="C360" s="20">
        <v>1</v>
      </c>
      <c r="D360" s="22" t="s">
        <v>902</v>
      </c>
      <c r="E360" s="14">
        <v>2018</v>
      </c>
      <c r="F360" s="14" t="s">
        <v>866</v>
      </c>
      <c r="G360" s="14" t="s">
        <v>28</v>
      </c>
      <c r="H360" s="14" t="s">
        <v>903</v>
      </c>
      <c r="I360" s="17" t="s">
        <v>903</v>
      </c>
      <c r="J360" s="18">
        <v>4</v>
      </c>
      <c r="K360" s="19" t="s">
        <v>24</v>
      </c>
      <c r="L360" s="25" t="s">
        <v>641</v>
      </c>
      <c r="M360" s="16" t="s">
        <v>1003</v>
      </c>
      <c r="N360" s="15">
        <v>648</v>
      </c>
      <c r="O360" s="28" t="s">
        <v>29</v>
      </c>
      <c r="S360"/>
      <c r="T360"/>
    </row>
    <row r="361" spans="2:20" ht="13.5" customHeight="1" x14ac:dyDescent="0.3">
      <c r="B361" s="14" t="s">
        <v>23</v>
      </c>
      <c r="C361" s="20">
        <v>1</v>
      </c>
      <c r="D361" s="26" t="s">
        <v>904</v>
      </c>
      <c r="E361" s="14">
        <v>1998</v>
      </c>
      <c r="F361" s="14" t="s">
        <v>866</v>
      </c>
      <c r="G361" s="14" t="s">
        <v>905</v>
      </c>
      <c r="H361" s="14" t="s">
        <v>906</v>
      </c>
      <c r="I361" s="17" t="s">
        <v>907</v>
      </c>
      <c r="J361" s="18">
        <v>14</v>
      </c>
      <c r="K361" s="19" t="s">
        <v>24</v>
      </c>
      <c r="L361" s="25" t="s">
        <v>641</v>
      </c>
      <c r="M361" s="16" t="s">
        <v>1004</v>
      </c>
      <c r="N361" s="15">
        <v>664</v>
      </c>
      <c r="O361" s="28" t="s">
        <v>29</v>
      </c>
      <c r="S361"/>
      <c r="T361"/>
    </row>
    <row r="362" spans="2:20" ht="13.5" customHeight="1" x14ac:dyDescent="0.3">
      <c r="B362" s="14" t="s">
        <v>23</v>
      </c>
      <c r="C362" s="20">
        <v>1</v>
      </c>
      <c r="D362" s="22" t="s">
        <v>908</v>
      </c>
      <c r="E362" s="14">
        <v>2012</v>
      </c>
      <c r="F362" s="14" t="s">
        <v>866</v>
      </c>
      <c r="G362" s="14" t="s">
        <v>905</v>
      </c>
      <c r="H362" s="14" t="s">
        <v>909</v>
      </c>
      <c r="I362" s="17" t="s">
        <v>910</v>
      </c>
      <c r="J362" s="18">
        <v>31</v>
      </c>
      <c r="K362" s="19" t="s">
        <v>24</v>
      </c>
      <c r="L362" s="25" t="s">
        <v>641</v>
      </c>
      <c r="M362" s="16">
        <v>20</v>
      </c>
      <c r="N362" s="15">
        <v>1238</v>
      </c>
      <c r="O362" s="28"/>
      <c r="S362"/>
      <c r="T362"/>
    </row>
    <row r="363" spans="2:20" ht="13.5" customHeight="1" x14ac:dyDescent="0.3">
      <c r="C363" s="13">
        <f>SUM(C8:C362)</f>
        <v>355</v>
      </c>
      <c r="J363" s="13">
        <f>SUM(J8:J362)</f>
        <v>7882</v>
      </c>
      <c r="N363" s="13">
        <f>SUM(N8:N362)</f>
        <v>319318</v>
      </c>
      <c r="S363"/>
      <c r="T363"/>
    </row>
    <row r="370" spans="9:9" ht="13.5" customHeight="1" x14ac:dyDescent="0.3">
      <c r="I370" s="21"/>
    </row>
  </sheetData>
  <mergeCells count="1">
    <mergeCell ref="B3:M5"/>
  </mergeCells>
  <phoneticPr fontId="2" type="noConversion"/>
  <conditionalFormatting sqref="D1:D6">
    <cfRule type="duplicateValues" dxfId="23" priority="202"/>
  </conditionalFormatting>
  <conditionalFormatting sqref="D7">
    <cfRule type="duplicateValues" dxfId="22" priority="200"/>
    <cfRule type="duplicateValues" dxfId="21" priority="201"/>
  </conditionalFormatting>
  <conditionalFormatting sqref="D45">
    <cfRule type="duplicateValues" dxfId="20" priority="13"/>
    <cfRule type="duplicateValues" dxfId="19" priority="14"/>
  </conditionalFormatting>
  <conditionalFormatting sqref="D347:D360">
    <cfRule type="duplicateValues" dxfId="18" priority="7"/>
    <cfRule type="duplicateValues" dxfId="17" priority="8"/>
    <cfRule type="duplicateValues" dxfId="16" priority="9"/>
    <cfRule type="duplicateValues" dxfId="15" priority="10"/>
    <cfRule type="duplicateValues" dxfId="14" priority="11"/>
    <cfRule type="duplicateValues" dxfId="13" priority="12"/>
  </conditionalFormatting>
  <conditionalFormatting sqref="D361">
    <cfRule type="duplicateValues" dxfId="12" priority="1"/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</conditionalFormatting>
  <conditionalFormatting sqref="D362 D8:D346">
    <cfRule type="duplicateValues" dxfId="6" priority="15"/>
    <cfRule type="duplicateValues" dxfId="5" priority="16"/>
    <cfRule type="duplicateValues" dxfId="4" priority="17"/>
    <cfRule type="duplicateValues" dxfId="3" priority="20"/>
  </conditionalFormatting>
  <conditionalFormatting sqref="D362 D46:D346 D8:D44">
    <cfRule type="duplicateValues" dxfId="2" priority="18"/>
    <cfRule type="duplicateValues" dxfId="1" priority="19"/>
  </conditionalFormatting>
  <conditionalFormatting sqref="K7:L362">
    <cfRule type="cellIs" dxfId="0" priority="199" operator="equal">
      <formula>"O"</formula>
    </cfRule>
  </conditionalFormatting>
  <pageMargins left="0.7" right="0.7" top="0.75" bottom="0.75" header="0.3" footer="0.3"/>
  <pageSetup paperSize="9" scale="1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황종수</cp:lastModifiedBy>
  <dcterms:created xsi:type="dcterms:W3CDTF">2025-08-11T09:16:26Z</dcterms:created>
  <dcterms:modified xsi:type="dcterms:W3CDTF">2025-11-25T09:00:14Z</dcterms:modified>
</cp:coreProperties>
</file>