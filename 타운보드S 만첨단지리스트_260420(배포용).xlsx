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60219001\Desktop\타운보드 2026\전국 만첨단지리스트\260420\"/>
    </mc:Choice>
  </mc:AlternateContent>
  <xr:revisionPtr revIDLastSave="0" documentId="13_ncr:1_{555816A5-1B2F-4739-83A6-05C337EDA913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만첨리스트!$B$7:$O$23</definedName>
    <definedName name="_xlnm.Print_Area" localSheetId="0">만첨리스트!$A$1:$Q$24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C23" i="1"/>
  <c r="N23" i="1"/>
  <c r="O4" i="1" l="1"/>
</calcChain>
</file>

<file path=xl/sharedStrings.xml><?xml version="1.0" encoding="utf-8"?>
<sst xmlns="http://schemas.openxmlformats.org/spreadsheetml/2006/main" count="156" uniqueCount="90">
  <si>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</si>
  <si>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</si>
  <si>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</si>
  <si>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</si>
  <si>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</si>
  <si>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</si>
  <si>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</si>
  <si>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</si>
  <si>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</si>
  <si>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</si>
  <si>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</si>
  <si>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</si>
  <si>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</si>
  <si>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</si>
  <si>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</si>
  <si>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</si>
  <si>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</si>
  <si>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</si>
  <si>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</si>
  <si>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</si>
  <si>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</si>
  <si>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</si>
  <si>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</si>
  <si>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부산</t>
  </si>
  <si>
    <t>주상복합</t>
  </si>
  <si>
    <t>오피스텔</t>
  </si>
  <si>
    <t>해운대</t>
  </si>
  <si>
    <t>재송</t>
  </si>
  <si>
    <t>재송제1</t>
  </si>
  <si>
    <t>서울</t>
  </si>
  <si>
    <t>우</t>
  </si>
  <si>
    <t>우2</t>
  </si>
  <si>
    <t>양천</t>
  </si>
  <si>
    <t>목</t>
  </si>
  <si>
    <t>목1</t>
  </si>
  <si>
    <t>35~51</t>
  </si>
  <si>
    <t>39,96</t>
  </si>
  <si>
    <t>영등포</t>
  </si>
  <si>
    <t>경기</t>
  </si>
  <si>
    <t>성남</t>
  </si>
  <si>
    <t>백현</t>
  </si>
  <si>
    <t>화성</t>
  </si>
  <si>
    <t>오산</t>
  </si>
  <si>
    <t>인천</t>
  </si>
  <si>
    <t>대구</t>
  </si>
  <si>
    <t>수성</t>
  </si>
  <si>
    <t>수성동3가</t>
  </si>
  <si>
    <t>36~100</t>
  </si>
  <si>
    <t>27,34,41</t>
  </si>
  <si>
    <t>38,46,49,50,58,65,74</t>
  </si>
  <si>
    <t>여의도</t>
  </si>
  <si>
    <t>광진</t>
  </si>
  <si>
    <t>구의</t>
  </si>
  <si>
    <t>부평</t>
  </si>
  <si>
    <t>부개</t>
  </si>
  <si>
    <t>40,98,114</t>
  </si>
  <si>
    <t>41~92</t>
  </si>
  <si>
    <t>온라인(유통) : 쿠팡 , 롯데온 , 마켓컬리 , 오아시스 , B마트(배민은 가능)   //   대형마트 : 홈플러스 / 롯데마트 / 메가마트 / GS슈퍼 / 롯데슈퍼 / 홈플러스익스프레스</t>
  </si>
  <si>
    <t>25,30,31,34,40,44,53,55,61</t>
  </si>
  <si>
    <t>16~33</t>
  </si>
  <si>
    <t>목동트라팰리스</t>
  </si>
  <si>
    <t>범어</t>
  </si>
  <si>
    <t>상</t>
  </si>
  <si>
    <t>범어2</t>
  </si>
  <si>
    <t>37~60</t>
  </si>
  <si>
    <t>34~58</t>
  </si>
  <si>
    <t>25~33</t>
  </si>
  <si>
    <t>34~101</t>
  </si>
  <si>
    <t>수성3가</t>
  </si>
  <si>
    <t>수성2,3가</t>
  </si>
  <si>
    <t>48~107</t>
  </si>
  <si>
    <t>4/25~</t>
    <phoneticPr fontId="2" type="noConversion"/>
  </si>
  <si>
    <t>롯데캐슬엠파이어아파트</t>
    <phoneticPr fontId="2" type="noConversion"/>
  </si>
  <si>
    <t>4/23~</t>
    <phoneticPr fontId="2" type="noConversion"/>
  </si>
  <si>
    <t>래미안파크스위트</t>
    <phoneticPr fontId="2" type="noConversion"/>
  </si>
  <si>
    <t>판교푸르지오그랑블</t>
    <phoneticPr fontId="2" type="noConversion"/>
  </si>
  <si>
    <t>동탄역롯데캐슬</t>
    <phoneticPr fontId="2" type="noConversion"/>
  </si>
  <si>
    <t>부평코오롱하늘채</t>
    <phoneticPr fontId="2" type="noConversion"/>
  </si>
  <si>
    <t>4/22~</t>
    <phoneticPr fontId="2" type="noConversion"/>
  </si>
  <si>
    <t>부산더샵센텀파크2차</t>
    <phoneticPr fontId="2" type="noConversion"/>
  </si>
  <si>
    <t>5/1~</t>
    <phoneticPr fontId="2" type="noConversion"/>
  </si>
  <si>
    <t>부산해운대센텀스타</t>
    <phoneticPr fontId="2" type="noConversion"/>
  </si>
  <si>
    <t>부산WBC더팰레스of</t>
    <phoneticPr fontId="2" type="noConversion"/>
  </si>
  <si>
    <t>대구범어노르웨이숲</t>
    <phoneticPr fontId="2" type="noConversion"/>
  </si>
  <si>
    <t>수성3가롯데캐슬</t>
    <phoneticPr fontId="2" type="noConversion"/>
  </si>
  <si>
    <t>대구수성코오롱하늘채</t>
    <phoneticPr fontId="2" type="noConversion"/>
  </si>
  <si>
    <t>대구범어e편한세상</t>
    <phoneticPr fontId="2" type="noConversion"/>
  </si>
  <si>
    <t>4/27~</t>
    <phoneticPr fontId="2" type="noConversion"/>
  </si>
  <si>
    <t>범어숲화성파크드림S</t>
    <phoneticPr fontId="2" type="noConversion"/>
  </si>
  <si>
    <t>대구수성레이크시티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</si>
</sst>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7" borderId="12" xfId="1" applyNumberFormat="1" applyFont="1" applyFill="1" applyBorder="1" applyAlignment="1">
      <alignment horizontal="center" vertical="center" shrinkToFit="1"/>
    </xf>
    <xf numFmtId="3" fontId="8" fillId="0" borderId="12" xfId="1" applyNumberFormat="1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3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6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23" width="5.625" customWidth="1"/>
    <col min="24" max="24" width="7.5" customWidth="1"/>
    <col min="25" max="27" width="5.625" customWidth="1"/>
    <col min="28" max="28" width="7.5" customWidth="1"/>
    <col min="29" max="29" width="5.625" customWidth="1"/>
    <col min="30" max="30" width="3.75" customWidth="1"/>
    <col min="31" max="33" width="5.625" customWidth="1"/>
    <col min="34" max="34" width="7.5" customWidth="1"/>
    <col min="35" max="35" width="5.625" customWidth="1"/>
    <col min="36" max="36" width="7.5" customWidth="1"/>
  </cols>
  <sheetData>
    <row r="1" spans="2:17" ht="9.9499999999999993" hidden="1" customHeight="1" thickBot="1" x14ac:dyDescent="0.6"/>
    <row r="2" spans="2:17" ht="9.9499999999999993" customHeight="1" thickBot="1" x14ac:dyDescent="0.65"/>
    <row r="3" spans="2:17" ht="20.100000000000001" customHeight="1" x14ac:dyDescent="0.6">
      <c r="B3" s="31" t="s">
        <v>0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6" t="s">
        <v>1</v>
      </c>
      <c r="O3" s="7" t="s">
        <v>2</v>
      </c>
    </row>
    <row r="4" spans="2:17" ht="20.100000000000001" customHeight="1" x14ac:dyDescent="0.6">
      <c r="B4" s="33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8" t="s">
        <v>3</v>
      </c>
      <c r="O4" s="9">
        <f ca="1">TODAY()</f>
        <v>46132</v>
      </c>
    </row>
    <row r="5" spans="2:17" ht="20.100000000000001" customHeight="1" thickBot="1" x14ac:dyDescent="0.6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10" t="s">
        <v>4</v>
      </c>
      <c r="O5" s="11" t="s">
        <v>5</v>
      </c>
    </row>
    <row r="6" spans="2:17" ht="9" customHeight="1" x14ac:dyDescent="0.6"/>
    <row r="7" spans="2:17" ht="18" customHeight="1" x14ac:dyDescent="0.6">
      <c r="B7" s="20" t="s">
        <v>6</v>
      </c>
      <c r="C7" s="21" t="s">
        <v>7</v>
      </c>
      <c r="D7" s="20" t="s">
        <v>8</v>
      </c>
      <c r="E7" s="20" t="s">
        <v>9</v>
      </c>
      <c r="F7" s="20" t="s">
        <v>10</v>
      </c>
      <c r="G7" s="20" t="s">
        <v>11</v>
      </c>
      <c r="H7" s="20" t="s">
        <v>12</v>
      </c>
      <c r="I7" s="22" t="s">
        <v>13</v>
      </c>
      <c r="J7" s="23" t="s">
        <v>14</v>
      </c>
      <c r="K7" s="24" t="s">
        <v>15</v>
      </c>
      <c r="L7" s="25" t="s">
        <v>16</v>
      </c>
      <c r="M7" s="26" t="s">
        <v>17</v>
      </c>
      <c r="N7" s="27" t="s">
        <v>18</v>
      </c>
      <c r="O7" s="20" t="s">
        <v>19</v>
      </c>
      <c r="Q7" s="2" t="s">
        <v>20</v>
      </c>
    </row>
    <row r="8" spans="2:17" ht="18" customHeight="1" x14ac:dyDescent="0.6">
      <c r="B8" s="13" t="s">
        <v>21</v>
      </c>
      <c r="C8" s="14">
        <v>1</v>
      </c>
      <c r="D8" s="15" t="s">
        <v>60</v>
      </c>
      <c r="E8" s="13">
        <v>2009</v>
      </c>
      <c r="F8" s="13" t="s">
        <v>29</v>
      </c>
      <c r="G8" s="13" t="s">
        <v>32</v>
      </c>
      <c r="H8" s="13" t="s">
        <v>33</v>
      </c>
      <c r="I8" s="16" t="s">
        <v>34</v>
      </c>
      <c r="J8" s="28">
        <v>12</v>
      </c>
      <c r="K8" s="29" t="s">
        <v>22</v>
      </c>
      <c r="L8" s="18" t="s">
        <v>71</v>
      </c>
      <c r="M8" s="15" t="s">
        <v>55</v>
      </c>
      <c r="N8" s="14">
        <v>522</v>
      </c>
      <c r="O8" s="30"/>
    </row>
    <row r="9" spans="2:17" ht="18" customHeight="1" x14ac:dyDescent="0.6">
      <c r="B9" s="13" t="s">
        <v>24</v>
      </c>
      <c r="C9" s="14">
        <v>1</v>
      </c>
      <c r="D9" s="15" t="s">
        <v>72</v>
      </c>
      <c r="E9" s="13">
        <v>1992</v>
      </c>
      <c r="F9" s="13" t="s">
        <v>29</v>
      </c>
      <c r="G9" s="13" t="s">
        <v>37</v>
      </c>
      <c r="H9" s="13" t="s">
        <v>50</v>
      </c>
      <c r="I9" s="16" t="s">
        <v>50</v>
      </c>
      <c r="J9" s="28">
        <v>8</v>
      </c>
      <c r="K9" s="29" t="s">
        <v>22</v>
      </c>
      <c r="L9" s="18" t="s">
        <v>73</v>
      </c>
      <c r="M9" s="15" t="s">
        <v>56</v>
      </c>
      <c r="N9" s="14">
        <v>406</v>
      </c>
      <c r="O9" s="30"/>
      <c r="Q9"/>
    </row>
    <row r="10" spans="2:17" ht="18" customHeight="1" x14ac:dyDescent="0.6">
      <c r="B10" s="13" t="s">
        <v>21</v>
      </c>
      <c r="C10" s="14">
        <v>1</v>
      </c>
      <c r="D10" s="15" t="s">
        <v>74</v>
      </c>
      <c r="E10" s="13">
        <v>2018</v>
      </c>
      <c r="F10" s="13" t="s">
        <v>29</v>
      </c>
      <c r="G10" s="13" t="s">
        <v>51</v>
      </c>
      <c r="H10" s="13" t="s">
        <v>52</v>
      </c>
      <c r="I10" s="16" t="s">
        <v>52</v>
      </c>
      <c r="J10" s="28">
        <v>23</v>
      </c>
      <c r="K10" s="29" t="s">
        <v>22</v>
      </c>
      <c r="L10" s="18" t="s">
        <v>71</v>
      </c>
      <c r="M10" s="15" t="s">
        <v>58</v>
      </c>
      <c r="N10" s="14">
        <v>854</v>
      </c>
      <c r="O10" s="30"/>
    </row>
    <row r="11" spans="2:17" ht="18" customHeight="1" x14ac:dyDescent="0.6">
      <c r="B11" s="13" t="s">
        <v>21</v>
      </c>
      <c r="C11" s="14">
        <v>1</v>
      </c>
      <c r="D11" s="15" t="s">
        <v>75</v>
      </c>
      <c r="E11" s="13">
        <v>2011</v>
      </c>
      <c r="F11" s="13" t="s">
        <v>38</v>
      </c>
      <c r="G11" s="13" t="s">
        <v>39</v>
      </c>
      <c r="H11" s="13" t="s">
        <v>40</v>
      </c>
      <c r="I11" s="16" t="s">
        <v>40</v>
      </c>
      <c r="J11" s="28">
        <v>26</v>
      </c>
      <c r="K11" s="29" t="s">
        <v>22</v>
      </c>
      <c r="L11" s="18" t="s">
        <v>73</v>
      </c>
      <c r="M11" s="15" t="s">
        <v>47</v>
      </c>
      <c r="N11" s="14">
        <v>948</v>
      </c>
      <c r="O11" s="30"/>
    </row>
    <row r="12" spans="2:17" ht="18" customHeight="1" x14ac:dyDescent="0.6">
      <c r="B12" s="13" t="s">
        <v>24</v>
      </c>
      <c r="C12" s="14">
        <v>1</v>
      </c>
      <c r="D12" s="15" t="s">
        <v>76</v>
      </c>
      <c r="E12" s="13">
        <v>2003</v>
      </c>
      <c r="F12" s="13" t="s">
        <v>38</v>
      </c>
      <c r="G12" s="13" t="s">
        <v>41</v>
      </c>
      <c r="H12" s="13" t="s">
        <v>42</v>
      </c>
      <c r="I12" s="16" t="s">
        <v>42</v>
      </c>
      <c r="J12" s="28">
        <v>22</v>
      </c>
      <c r="K12" s="29" t="s">
        <v>22</v>
      </c>
      <c r="L12" s="18" t="s">
        <v>73</v>
      </c>
      <c r="M12" s="15" t="s">
        <v>48</v>
      </c>
      <c r="N12" s="14">
        <v>940</v>
      </c>
      <c r="O12" s="30"/>
    </row>
    <row r="13" spans="2:17" ht="18" customHeight="1" x14ac:dyDescent="0.6">
      <c r="B13" s="13" t="s">
        <v>21</v>
      </c>
      <c r="C13" s="14">
        <v>1</v>
      </c>
      <c r="D13" s="15" t="s">
        <v>77</v>
      </c>
      <c r="E13" s="13">
        <v>2020</v>
      </c>
      <c r="F13" s="13" t="s">
        <v>43</v>
      </c>
      <c r="G13" s="13" t="s">
        <v>53</v>
      </c>
      <c r="H13" s="13" t="s">
        <v>54</v>
      </c>
      <c r="I13" s="16" t="s">
        <v>54</v>
      </c>
      <c r="J13" s="28">
        <v>19</v>
      </c>
      <c r="K13" s="29" t="s">
        <v>22</v>
      </c>
      <c r="L13" s="18" t="s">
        <v>78</v>
      </c>
      <c r="M13" s="15" t="s">
        <v>59</v>
      </c>
      <c r="N13" s="14">
        <v>922</v>
      </c>
      <c r="O13" s="30" t="s">
        <v>57</v>
      </c>
    </row>
    <row r="14" spans="2:17" ht="18" customHeight="1" x14ac:dyDescent="0.6">
      <c r="B14" s="13" t="s">
        <v>21</v>
      </c>
      <c r="C14" s="14">
        <v>1</v>
      </c>
      <c r="D14" s="19" t="s">
        <v>89</v>
      </c>
      <c r="E14" s="13">
        <v>2009</v>
      </c>
      <c r="F14" s="13" t="s">
        <v>44</v>
      </c>
      <c r="G14" s="13" t="s">
        <v>45</v>
      </c>
      <c r="H14" s="13" t="s">
        <v>62</v>
      </c>
      <c r="I14" s="16" t="s">
        <v>62</v>
      </c>
      <c r="J14" s="28">
        <v>52</v>
      </c>
      <c r="K14" s="29" t="s">
        <v>22</v>
      </c>
      <c r="L14" s="18" t="s">
        <v>71</v>
      </c>
      <c r="M14" s="15" t="s">
        <v>64</v>
      </c>
      <c r="N14" s="14">
        <v>1411</v>
      </c>
      <c r="O14" s="30"/>
    </row>
    <row r="15" spans="2:17" ht="18" customHeight="1" x14ac:dyDescent="0.6">
      <c r="B15" s="13" t="s">
        <v>21</v>
      </c>
      <c r="C15" s="14">
        <v>1</v>
      </c>
      <c r="D15" s="19" t="s">
        <v>88</v>
      </c>
      <c r="E15" s="13">
        <v>2013</v>
      </c>
      <c r="F15" s="13" t="s">
        <v>44</v>
      </c>
      <c r="G15" s="13" t="s">
        <v>45</v>
      </c>
      <c r="H15" s="13" t="s">
        <v>61</v>
      </c>
      <c r="I15" s="16" t="s">
        <v>63</v>
      </c>
      <c r="J15" s="28">
        <v>12</v>
      </c>
      <c r="K15" s="29" t="s">
        <v>22</v>
      </c>
      <c r="L15" s="18" t="s">
        <v>87</v>
      </c>
      <c r="M15" s="15" t="s">
        <v>65</v>
      </c>
      <c r="N15" s="14">
        <v>503</v>
      </c>
      <c r="O15" s="30"/>
    </row>
    <row r="16" spans="2:17" ht="18" customHeight="1" x14ac:dyDescent="0.6">
      <c r="B16" s="13" t="s">
        <v>21</v>
      </c>
      <c r="C16" s="14">
        <v>1</v>
      </c>
      <c r="D16" s="19" t="s">
        <v>86</v>
      </c>
      <c r="E16" s="13">
        <v>2015</v>
      </c>
      <c r="F16" s="13" t="s">
        <v>44</v>
      </c>
      <c r="G16" s="13" t="s">
        <v>45</v>
      </c>
      <c r="H16" s="13" t="s">
        <v>61</v>
      </c>
      <c r="I16" s="16" t="s">
        <v>61</v>
      </c>
      <c r="J16" s="28">
        <v>18</v>
      </c>
      <c r="K16" s="29" t="s">
        <v>22</v>
      </c>
      <c r="L16" s="18" t="s">
        <v>87</v>
      </c>
      <c r="M16" s="15" t="s">
        <v>66</v>
      </c>
      <c r="N16" s="14">
        <v>842</v>
      </c>
      <c r="O16" s="30"/>
    </row>
    <row r="17" spans="2:17" ht="18" customHeight="1" x14ac:dyDescent="0.6">
      <c r="B17" s="13" t="s">
        <v>21</v>
      </c>
      <c r="C17" s="14">
        <v>1</v>
      </c>
      <c r="D17" s="19" t="s">
        <v>85</v>
      </c>
      <c r="E17" s="13">
        <v>2009</v>
      </c>
      <c r="F17" s="13" t="s">
        <v>44</v>
      </c>
      <c r="G17" s="13" t="s">
        <v>45</v>
      </c>
      <c r="H17" s="13" t="s">
        <v>68</v>
      </c>
      <c r="I17" s="16" t="s">
        <v>69</v>
      </c>
      <c r="J17" s="28">
        <v>28</v>
      </c>
      <c r="K17" s="29" t="s">
        <v>22</v>
      </c>
      <c r="L17" s="18" t="s">
        <v>71</v>
      </c>
      <c r="M17" s="15" t="s">
        <v>70</v>
      </c>
      <c r="N17" s="14">
        <v>439</v>
      </c>
      <c r="O17" s="30"/>
    </row>
    <row r="18" spans="2:17" ht="18" customHeight="1" x14ac:dyDescent="0.6">
      <c r="B18" s="13" t="s">
        <v>21</v>
      </c>
      <c r="C18" s="14">
        <v>1</v>
      </c>
      <c r="D18" s="19" t="s">
        <v>84</v>
      </c>
      <c r="E18" s="13">
        <v>2023</v>
      </c>
      <c r="F18" s="13" t="s">
        <v>44</v>
      </c>
      <c r="G18" s="13" t="s">
        <v>45</v>
      </c>
      <c r="H18" s="13" t="s">
        <v>46</v>
      </c>
      <c r="I18" s="16" t="s">
        <v>46</v>
      </c>
      <c r="J18" s="28">
        <v>20</v>
      </c>
      <c r="K18" s="29" t="s">
        <v>22</v>
      </c>
      <c r="L18" s="18" t="s">
        <v>71</v>
      </c>
      <c r="M18" s="15" t="s">
        <v>49</v>
      </c>
      <c r="N18" s="14">
        <v>802</v>
      </c>
      <c r="O18" s="30"/>
      <c r="Q18"/>
    </row>
    <row r="19" spans="2:17" ht="18" customHeight="1" x14ac:dyDescent="0.6">
      <c r="B19" s="13" t="s">
        <v>21</v>
      </c>
      <c r="C19" s="14">
        <v>1</v>
      </c>
      <c r="D19" s="17" t="s">
        <v>83</v>
      </c>
      <c r="E19" s="13">
        <v>2006</v>
      </c>
      <c r="F19" s="13" t="s">
        <v>44</v>
      </c>
      <c r="G19" s="13" t="s">
        <v>45</v>
      </c>
      <c r="H19" s="13" t="s">
        <v>61</v>
      </c>
      <c r="I19" s="16" t="s">
        <v>61</v>
      </c>
      <c r="J19" s="28">
        <v>14</v>
      </c>
      <c r="K19" s="29" t="s">
        <v>22</v>
      </c>
      <c r="L19" s="18" t="s">
        <v>73</v>
      </c>
      <c r="M19" s="15" t="s">
        <v>67</v>
      </c>
      <c r="N19" s="14">
        <v>576</v>
      </c>
      <c r="O19" s="30"/>
    </row>
    <row r="20" spans="2:17" ht="18" customHeight="1" x14ac:dyDescent="0.6">
      <c r="B20" s="13" t="s">
        <v>21</v>
      </c>
      <c r="C20" s="14">
        <v>1</v>
      </c>
      <c r="D20" s="15" t="s">
        <v>79</v>
      </c>
      <c r="E20" s="13">
        <v>2005</v>
      </c>
      <c r="F20" s="13" t="s">
        <v>23</v>
      </c>
      <c r="G20" s="13" t="s">
        <v>26</v>
      </c>
      <c r="H20" s="13" t="s">
        <v>27</v>
      </c>
      <c r="I20" s="16" t="s">
        <v>28</v>
      </c>
      <c r="J20" s="28">
        <v>17</v>
      </c>
      <c r="K20" s="29" t="s">
        <v>22</v>
      </c>
      <c r="L20" s="18" t="s">
        <v>80</v>
      </c>
      <c r="M20" s="15" t="s">
        <v>35</v>
      </c>
      <c r="N20" s="14">
        <v>998</v>
      </c>
      <c r="O20" s="30"/>
    </row>
    <row r="21" spans="2:17" ht="18" customHeight="1" x14ac:dyDescent="0.6">
      <c r="B21" s="13" t="s">
        <v>24</v>
      </c>
      <c r="C21" s="14">
        <v>1</v>
      </c>
      <c r="D21" s="15" t="s">
        <v>81</v>
      </c>
      <c r="E21" s="13">
        <v>2008</v>
      </c>
      <c r="F21" s="13" t="s">
        <v>23</v>
      </c>
      <c r="G21" s="13" t="s">
        <v>26</v>
      </c>
      <c r="H21" s="13" t="s">
        <v>27</v>
      </c>
      <c r="I21" s="16" t="s">
        <v>28</v>
      </c>
      <c r="J21" s="28">
        <v>20</v>
      </c>
      <c r="K21" s="29" t="s">
        <v>22</v>
      </c>
      <c r="L21" s="18" t="s">
        <v>71</v>
      </c>
      <c r="M21" s="15" t="s">
        <v>36</v>
      </c>
      <c r="N21" s="14">
        <v>848</v>
      </c>
      <c r="O21" s="30"/>
    </row>
    <row r="22" spans="2:17" ht="18" customHeight="1" x14ac:dyDescent="0.6">
      <c r="B22" s="13" t="s">
        <v>25</v>
      </c>
      <c r="C22" s="14">
        <v>1</v>
      </c>
      <c r="D22" s="15" t="s">
        <v>82</v>
      </c>
      <c r="E22" s="13">
        <v>2011</v>
      </c>
      <c r="F22" s="13" t="s">
        <v>23</v>
      </c>
      <c r="G22" s="13" t="s">
        <v>26</v>
      </c>
      <c r="H22" s="13" t="s">
        <v>30</v>
      </c>
      <c r="I22" s="16" t="s">
        <v>31</v>
      </c>
      <c r="J22" s="28">
        <v>12</v>
      </c>
      <c r="K22" s="29" t="s">
        <v>22</v>
      </c>
      <c r="L22" s="18" t="s">
        <v>80</v>
      </c>
      <c r="M22" s="15">
        <v>124</v>
      </c>
      <c r="N22" s="14">
        <v>288</v>
      </c>
      <c r="O22" s="30"/>
    </row>
    <row r="23" spans="2:17" ht="13.5" customHeight="1" x14ac:dyDescent="0.6">
      <c r="C23" s="12">
        <f>SUM(C8:C22)</f>
        <v>15</v>
      </c>
      <c r="J23" s="12">
        <f>SUM(J8:J22)</f>
        <v>303</v>
      </c>
      <c r="K23" s="12"/>
      <c r="N23" s="12">
        <f>SUM(N8:N22)</f>
        <v>11299</v>
      </c>
    </row>
  </sheetData>
  <autoFilter ref="B7:O23" xr:uid="{00000000-0001-0000-0000-000000000000}"/>
  <mergeCells count="1">
    <mergeCell ref="B3:M5"/>
  </mergeCells>
  <phoneticPr fontId="2" type="noConversion"/>
  <conditionalFormatting sqref="D1:D6">
    <cfRule type="duplicateValues" dxfId="51" priority="668"/>
  </conditionalFormatting>
  <conditionalFormatting sqref="D7">
    <cfRule type="duplicateValues" dxfId="50" priority="666"/>
    <cfRule type="duplicateValues" dxfId="49" priority="667"/>
  </conditionalFormatting>
  <conditionalFormatting sqref="D8">
    <cfRule type="duplicateValues" dxfId="48" priority="51"/>
    <cfRule type="duplicateValues" dxfId="47" priority="52"/>
    <cfRule type="duplicateValues" dxfId="46" priority="53"/>
    <cfRule type="duplicateValues" dxfId="45" priority="54"/>
    <cfRule type="duplicateValues" dxfId="44" priority="55"/>
    <cfRule type="duplicateValues" dxfId="43" priority="56"/>
  </conditionalFormatting>
  <conditionalFormatting sqref="D9:D19">
    <cfRule type="duplicateValues" dxfId="42" priority="45"/>
    <cfRule type="duplicateValues" dxfId="41" priority="46"/>
  </conditionalFormatting>
  <conditionalFormatting sqref="D9:D20">
    <cfRule type="duplicateValues" dxfId="40" priority="47"/>
    <cfRule type="duplicateValues" dxfId="39" priority="48"/>
    <cfRule type="duplicateValues" dxfId="38" priority="49"/>
    <cfRule type="duplicateValues" dxfId="37" priority="50"/>
  </conditionalFormatting>
  <conditionalFormatting sqref="K7:L22">
    <cfRule type="cellIs" dxfId="36" priority="57" operator="equal">
      <formula>"O"</formula>
    </cfRule>
  </conditionalFormatting>
  <conditionalFormatting sqref="D21:D22">
    <cfRule type="duplicateValues" dxfId="35" priority="669"/>
    <cfRule type="duplicateValues" dxfId="34" priority="670"/>
  </conditionalFormatting>
  <conditionalFormatting sqref="D21:D22">
    <cfRule type="duplicateValues" dxfId="33" priority="671"/>
    <cfRule type="duplicateValues" dxfId="32" priority="672"/>
    <cfRule type="duplicateValues" dxfId="31" priority="673"/>
    <cfRule type="duplicateValues" dxfId="30" priority="674"/>
  </conditionalFormatting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전지훈</cp:lastModifiedBy>
  <cp:lastPrinted>2026-01-19T02:07:16Z</cp:lastPrinted>
  <dcterms:created xsi:type="dcterms:W3CDTF">2025-08-11T09:16:26Z</dcterms:created>
  <dcterms:modified xsi:type="dcterms:W3CDTF">2026-04-20T09:05:48Z</dcterms:modified>
</cp:coreProperties>
</file>